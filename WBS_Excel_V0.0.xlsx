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216c861d618c7ef/Documents/"/>
    </mc:Choice>
  </mc:AlternateContent>
  <xr:revisionPtr revIDLastSave="4" documentId="8_{5F64AE94-0011-475C-A527-4AD97A3D61B9}" xr6:coauthVersionLast="47" xr6:coauthVersionMax="47" xr10:uidLastSave="{73147314-6D95-4FD7-B8AD-DDADBAB93CD1}"/>
  <bookViews>
    <workbookView xWindow="-108" yWindow="-108" windowWidth="23256" windowHeight="13896" xr2:uid="{C13E4BC4-619E-4707-9B5C-4CBBCCD8F4CF}"/>
  </bookViews>
  <sheets>
    <sheet name="WBS Input" sheetId="1" r:id="rId1"/>
    <sheet name="WBS Tree View" sheetId="4" r:id="rId2"/>
    <sheet name="User Guide" sheetId="5" r:id="rId3"/>
  </sheets>
  <definedNames>
    <definedName name="_xlnm._FilterDatabase" localSheetId="0" hidden="1">'WBS Input'!$A$4:$L$4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4" l="1"/>
  <c r="A6" i="4"/>
  <c r="B6" i="4"/>
  <c r="C6" i="4"/>
  <c r="D6" i="4"/>
  <c r="E6" i="4"/>
  <c r="A7" i="4"/>
  <c r="B7" i="4"/>
  <c r="C7" i="4"/>
  <c r="D7" i="4"/>
  <c r="E7" i="4"/>
  <c r="A8" i="4"/>
  <c r="B8" i="4"/>
  <c r="C8" i="4"/>
  <c r="D8" i="4"/>
  <c r="E8" i="4"/>
  <c r="A9" i="4"/>
  <c r="B9" i="4"/>
  <c r="C9" i="4"/>
  <c r="D9" i="4"/>
  <c r="E9" i="4"/>
  <c r="A10" i="4"/>
  <c r="B10" i="4"/>
  <c r="C10" i="4"/>
  <c r="D10" i="4"/>
  <c r="E10" i="4"/>
  <c r="A11" i="4"/>
  <c r="B11" i="4"/>
  <c r="C11" i="4"/>
  <c r="D11" i="4"/>
  <c r="E11" i="4"/>
  <c r="A12" i="4"/>
  <c r="B12" i="4"/>
  <c r="C12" i="4"/>
  <c r="D12" i="4"/>
  <c r="E12" i="4"/>
  <c r="A13" i="4"/>
  <c r="B13" i="4"/>
  <c r="C13" i="4"/>
  <c r="D13" i="4"/>
  <c r="E13" i="4"/>
  <c r="A14" i="4"/>
  <c r="B14" i="4"/>
  <c r="C14" i="4"/>
  <c r="D14" i="4"/>
  <c r="E14" i="4"/>
  <c r="A15" i="4"/>
  <c r="B15" i="4"/>
  <c r="C15" i="4"/>
  <c r="D15" i="4"/>
  <c r="E15" i="4"/>
  <c r="A16" i="4"/>
  <c r="B16" i="4"/>
  <c r="C16" i="4"/>
  <c r="D16" i="4"/>
  <c r="E16" i="4"/>
  <c r="A17" i="4"/>
  <c r="B17" i="4"/>
  <c r="C17" i="4"/>
  <c r="D17" i="4"/>
  <c r="E17" i="4"/>
  <c r="A18" i="4"/>
  <c r="B18" i="4"/>
  <c r="C18" i="4"/>
  <c r="D18" i="4"/>
  <c r="E18" i="4"/>
  <c r="A19" i="4"/>
  <c r="B19" i="4"/>
  <c r="C19" i="4"/>
  <c r="D19" i="4"/>
  <c r="E19" i="4"/>
  <c r="A20" i="4"/>
  <c r="B20" i="4"/>
  <c r="C20" i="4"/>
  <c r="D20" i="4"/>
  <c r="E20" i="4"/>
  <c r="A21" i="4"/>
  <c r="B21" i="4"/>
  <c r="C21" i="4"/>
  <c r="D21" i="4"/>
  <c r="E21" i="4"/>
  <c r="A22" i="4"/>
  <c r="B22" i="4"/>
  <c r="C22" i="4"/>
  <c r="D22" i="4"/>
  <c r="E22" i="4"/>
  <c r="A23" i="4"/>
  <c r="B23" i="4"/>
  <c r="C23" i="4"/>
  <c r="D23" i="4"/>
  <c r="E23" i="4"/>
  <c r="A24" i="4"/>
  <c r="B24" i="4"/>
  <c r="C24" i="4"/>
  <c r="D24" i="4"/>
  <c r="E24" i="4"/>
  <c r="A25" i="4"/>
  <c r="B25" i="4"/>
  <c r="C25" i="4"/>
  <c r="D25" i="4"/>
  <c r="E25" i="4"/>
  <c r="A26" i="4"/>
  <c r="B26" i="4"/>
  <c r="C26" i="4"/>
  <c r="D26" i="4"/>
  <c r="E26" i="4"/>
  <c r="A27" i="4"/>
  <c r="B27" i="4"/>
  <c r="C27" i="4"/>
  <c r="D27" i="4"/>
  <c r="E27" i="4"/>
  <c r="A28" i="4"/>
  <c r="B28" i="4"/>
  <c r="C28" i="4"/>
  <c r="D28" i="4"/>
  <c r="E28" i="4"/>
  <c r="A29" i="4"/>
  <c r="B29" i="4"/>
  <c r="C29" i="4"/>
  <c r="D29" i="4"/>
  <c r="E29" i="4"/>
  <c r="A30" i="4"/>
  <c r="B30" i="4"/>
  <c r="C30" i="4"/>
  <c r="D30" i="4"/>
  <c r="E30" i="4"/>
  <c r="A31" i="4"/>
  <c r="B31" i="4"/>
  <c r="C31" i="4"/>
  <c r="D31" i="4"/>
  <c r="E31" i="4"/>
  <c r="A32" i="4"/>
  <c r="B32" i="4"/>
  <c r="C32" i="4"/>
  <c r="D32" i="4"/>
  <c r="E32" i="4"/>
  <c r="A33" i="4"/>
  <c r="B33" i="4"/>
  <c r="C33" i="4"/>
  <c r="D33" i="4"/>
  <c r="E33" i="4"/>
  <c r="A34" i="4"/>
  <c r="B34" i="4"/>
  <c r="C34" i="4"/>
  <c r="D34" i="4"/>
  <c r="E34" i="4"/>
  <c r="A35" i="4"/>
  <c r="B35" i="4"/>
  <c r="C35" i="4"/>
  <c r="D35" i="4"/>
  <c r="E35" i="4"/>
  <c r="A36" i="4"/>
  <c r="B36" i="4"/>
  <c r="C36" i="4"/>
  <c r="D36" i="4"/>
  <c r="E36" i="4"/>
  <c r="A37" i="4"/>
  <c r="B37" i="4"/>
  <c r="C37" i="4"/>
  <c r="D37" i="4"/>
  <c r="E37" i="4"/>
  <c r="A38" i="4"/>
  <c r="B38" i="4"/>
  <c r="C38" i="4"/>
  <c r="D38" i="4"/>
  <c r="E38" i="4"/>
  <c r="A39" i="4"/>
  <c r="B39" i="4"/>
  <c r="C39" i="4"/>
  <c r="D39" i="4"/>
  <c r="E39" i="4"/>
  <c r="A40" i="4"/>
  <c r="B40" i="4"/>
  <c r="C40" i="4"/>
  <c r="D40" i="4"/>
  <c r="E40" i="4"/>
  <c r="A41" i="4"/>
  <c r="B41" i="4"/>
  <c r="C41" i="4"/>
  <c r="D41" i="4"/>
  <c r="E41" i="4"/>
  <c r="A42" i="4"/>
  <c r="B42" i="4"/>
  <c r="C42" i="4"/>
  <c r="D42" i="4"/>
  <c r="E42" i="4"/>
  <c r="A43" i="4"/>
  <c r="B43" i="4"/>
  <c r="C43" i="4"/>
  <c r="D43" i="4"/>
  <c r="E43" i="4"/>
  <c r="A44" i="4"/>
  <c r="B44" i="4"/>
  <c r="C44" i="4"/>
  <c r="D44" i="4"/>
  <c r="E44" i="4"/>
  <c r="A45" i="4"/>
  <c r="B45" i="4"/>
  <c r="C45" i="4"/>
  <c r="D45" i="4"/>
  <c r="E45" i="4"/>
  <c r="A46" i="4"/>
  <c r="B46" i="4"/>
  <c r="C46" i="4"/>
  <c r="D46" i="4"/>
  <c r="E46" i="4"/>
  <c r="A47" i="4"/>
  <c r="B47" i="4"/>
  <c r="C47" i="4"/>
  <c r="D47" i="4"/>
  <c r="E47" i="4"/>
  <c r="A48" i="4"/>
  <c r="B48" i="4"/>
  <c r="C48" i="4"/>
  <c r="D48" i="4"/>
  <c r="E48" i="4"/>
  <c r="A49" i="4"/>
  <c r="B49" i="4"/>
  <c r="C49" i="4"/>
  <c r="D49" i="4"/>
  <c r="E49" i="4"/>
  <c r="A50" i="4"/>
  <c r="B50" i="4"/>
  <c r="C50" i="4"/>
  <c r="D50" i="4"/>
  <c r="E50" i="4"/>
  <c r="A51" i="4"/>
  <c r="B51" i="4"/>
  <c r="C51" i="4"/>
  <c r="D51" i="4"/>
  <c r="E51" i="4"/>
  <c r="A52" i="4"/>
  <c r="B52" i="4"/>
  <c r="C52" i="4"/>
  <c r="D52" i="4"/>
  <c r="E52" i="4"/>
  <c r="A53" i="4"/>
  <c r="B53" i="4"/>
  <c r="C53" i="4"/>
  <c r="D53" i="4"/>
  <c r="E53" i="4"/>
  <c r="A54" i="4"/>
  <c r="B54" i="4"/>
  <c r="C54" i="4"/>
  <c r="D54" i="4"/>
  <c r="E54" i="4"/>
  <c r="A55" i="4"/>
  <c r="B55" i="4"/>
  <c r="C55" i="4"/>
  <c r="D55" i="4"/>
  <c r="E55" i="4"/>
  <c r="A56" i="4"/>
  <c r="B56" i="4"/>
  <c r="C56" i="4"/>
  <c r="D56" i="4"/>
  <c r="E56" i="4"/>
  <c r="A57" i="4"/>
  <c r="B57" i="4"/>
  <c r="C57" i="4"/>
  <c r="D57" i="4"/>
  <c r="E57" i="4"/>
  <c r="A58" i="4"/>
  <c r="B58" i="4"/>
  <c r="C58" i="4"/>
  <c r="D58" i="4"/>
  <c r="E58" i="4"/>
  <c r="A59" i="4"/>
  <c r="B59" i="4"/>
  <c r="C59" i="4"/>
  <c r="D59" i="4"/>
  <c r="E59" i="4"/>
  <c r="A60" i="4"/>
  <c r="B60" i="4"/>
  <c r="C60" i="4"/>
  <c r="D60" i="4"/>
  <c r="E60" i="4"/>
  <c r="A61" i="4"/>
  <c r="B61" i="4"/>
  <c r="C61" i="4"/>
  <c r="D61" i="4"/>
  <c r="E61" i="4"/>
  <c r="A62" i="4"/>
  <c r="B62" i="4"/>
  <c r="C62" i="4"/>
  <c r="D62" i="4"/>
  <c r="E62" i="4"/>
  <c r="A63" i="4"/>
  <c r="B63" i="4"/>
  <c r="C63" i="4"/>
  <c r="D63" i="4"/>
  <c r="E63" i="4"/>
  <c r="A64" i="4"/>
  <c r="B64" i="4"/>
  <c r="C64" i="4"/>
  <c r="D64" i="4"/>
  <c r="E64" i="4"/>
  <c r="A65" i="4"/>
  <c r="B65" i="4"/>
  <c r="C65" i="4"/>
  <c r="D65" i="4"/>
  <c r="E65" i="4"/>
  <c r="A66" i="4"/>
  <c r="B66" i="4"/>
  <c r="C66" i="4"/>
  <c r="D66" i="4"/>
  <c r="E66" i="4"/>
  <c r="A67" i="4"/>
  <c r="B67" i="4"/>
  <c r="C67" i="4"/>
  <c r="D67" i="4"/>
  <c r="E67" i="4"/>
  <c r="A68" i="4"/>
  <c r="B68" i="4"/>
  <c r="C68" i="4"/>
  <c r="D68" i="4"/>
  <c r="E68" i="4"/>
  <c r="A69" i="4"/>
  <c r="B69" i="4"/>
  <c r="C69" i="4"/>
  <c r="D69" i="4"/>
  <c r="E69" i="4"/>
  <c r="A70" i="4"/>
  <c r="B70" i="4"/>
  <c r="C70" i="4"/>
  <c r="D70" i="4"/>
  <c r="E70" i="4"/>
  <c r="A71" i="4"/>
  <c r="B71" i="4"/>
  <c r="C71" i="4"/>
  <c r="D71" i="4"/>
  <c r="E71" i="4"/>
  <c r="A72" i="4"/>
  <c r="B72" i="4"/>
  <c r="C72" i="4"/>
  <c r="D72" i="4"/>
  <c r="E72" i="4"/>
  <c r="A73" i="4"/>
  <c r="B73" i="4"/>
  <c r="C73" i="4"/>
  <c r="D73" i="4"/>
  <c r="E73" i="4"/>
  <c r="A74" i="4"/>
  <c r="B74" i="4"/>
  <c r="C74" i="4"/>
  <c r="D74" i="4"/>
  <c r="E74" i="4"/>
  <c r="A75" i="4"/>
  <c r="B75" i="4"/>
  <c r="C75" i="4"/>
  <c r="D75" i="4"/>
  <c r="E75" i="4"/>
  <c r="A76" i="4"/>
  <c r="B76" i="4"/>
  <c r="C76" i="4"/>
  <c r="D76" i="4"/>
  <c r="E76" i="4"/>
  <c r="A77" i="4"/>
  <c r="B77" i="4"/>
  <c r="C77" i="4"/>
  <c r="D77" i="4"/>
  <c r="E77" i="4"/>
  <c r="A78" i="4"/>
  <c r="B78" i="4"/>
  <c r="C78" i="4"/>
  <c r="D78" i="4"/>
  <c r="E78" i="4"/>
  <c r="A79" i="4"/>
  <c r="B79" i="4"/>
  <c r="C79" i="4"/>
  <c r="D79" i="4"/>
  <c r="E79" i="4"/>
  <c r="A80" i="4"/>
  <c r="B80" i="4"/>
  <c r="C80" i="4"/>
  <c r="D80" i="4"/>
  <c r="E80" i="4"/>
  <c r="A81" i="4"/>
  <c r="B81" i="4"/>
  <c r="C81" i="4"/>
  <c r="D81" i="4"/>
  <c r="E81" i="4"/>
  <c r="A82" i="4"/>
  <c r="B82" i="4"/>
  <c r="C82" i="4"/>
  <c r="D82" i="4"/>
  <c r="E82" i="4"/>
  <c r="A83" i="4"/>
  <c r="B83" i="4"/>
  <c r="C83" i="4"/>
  <c r="D83" i="4"/>
  <c r="E83" i="4"/>
  <c r="A84" i="4"/>
  <c r="B84" i="4"/>
  <c r="C84" i="4"/>
  <c r="D84" i="4"/>
  <c r="E84" i="4"/>
  <c r="A85" i="4"/>
  <c r="B85" i="4"/>
  <c r="C85" i="4"/>
  <c r="D85" i="4"/>
  <c r="E85" i="4"/>
  <c r="A86" i="4"/>
  <c r="B86" i="4"/>
  <c r="C86" i="4"/>
  <c r="D86" i="4"/>
  <c r="E86" i="4"/>
  <c r="A87" i="4"/>
  <c r="B87" i="4"/>
  <c r="C87" i="4"/>
  <c r="D87" i="4"/>
  <c r="E87" i="4"/>
  <c r="A88" i="4"/>
  <c r="B88" i="4"/>
  <c r="C88" i="4"/>
  <c r="D88" i="4"/>
  <c r="E88" i="4"/>
  <c r="A89" i="4"/>
  <c r="B89" i="4"/>
  <c r="C89" i="4"/>
  <c r="D89" i="4"/>
  <c r="E89" i="4"/>
  <c r="A90" i="4"/>
  <c r="B90" i="4"/>
  <c r="C90" i="4"/>
  <c r="D90" i="4"/>
  <c r="E90" i="4"/>
  <c r="A91" i="4"/>
  <c r="B91" i="4"/>
  <c r="C91" i="4"/>
  <c r="D91" i="4"/>
  <c r="E91" i="4"/>
  <c r="A92" i="4"/>
  <c r="B92" i="4"/>
  <c r="C92" i="4"/>
  <c r="D92" i="4"/>
  <c r="E92" i="4"/>
  <c r="A93" i="4"/>
  <c r="B93" i="4"/>
  <c r="C93" i="4"/>
  <c r="D93" i="4"/>
  <c r="E93" i="4"/>
  <c r="A94" i="4"/>
  <c r="B94" i="4"/>
  <c r="C94" i="4"/>
  <c r="D94" i="4"/>
  <c r="E94" i="4"/>
  <c r="A95" i="4"/>
  <c r="B95" i="4"/>
  <c r="C95" i="4"/>
  <c r="D95" i="4"/>
  <c r="E95" i="4"/>
  <c r="A96" i="4"/>
  <c r="B96" i="4"/>
  <c r="C96" i="4"/>
  <c r="D96" i="4"/>
  <c r="E96" i="4"/>
  <c r="A97" i="4"/>
  <c r="B97" i="4"/>
  <c r="C97" i="4"/>
  <c r="D97" i="4"/>
  <c r="E97" i="4"/>
  <c r="A98" i="4"/>
  <c r="B98" i="4"/>
  <c r="C98" i="4"/>
  <c r="D98" i="4"/>
  <c r="E98" i="4"/>
  <c r="A99" i="4"/>
  <c r="B99" i="4"/>
  <c r="C99" i="4"/>
  <c r="D99" i="4"/>
  <c r="E99" i="4"/>
  <c r="A100" i="4"/>
  <c r="B100" i="4"/>
  <c r="C100" i="4"/>
  <c r="D100" i="4"/>
  <c r="E100" i="4"/>
  <c r="E5" i="4"/>
  <c r="D5" i="4"/>
  <c r="C2" i="4"/>
  <c r="C1" i="4"/>
  <c r="A101" i="4"/>
  <c r="B101" i="4"/>
  <c r="C101" i="4"/>
  <c r="C5" i="4"/>
  <c r="B5" i="4"/>
  <c r="A5" i="4"/>
</calcChain>
</file>

<file path=xl/sharedStrings.xml><?xml version="1.0" encoding="utf-8"?>
<sst xmlns="http://schemas.openxmlformats.org/spreadsheetml/2006/main" count="202" uniqueCount="189">
  <si>
    <t>1.1.1</t>
  </si>
  <si>
    <t>1.1.2</t>
  </si>
  <si>
    <t>1.1.3</t>
  </si>
  <si>
    <t>1.1.4</t>
  </si>
  <si>
    <t>1.3.1</t>
  </si>
  <si>
    <t>1.3.2</t>
  </si>
  <si>
    <t>1.3.3</t>
  </si>
  <si>
    <t>3.1.1</t>
  </si>
  <si>
    <t>3.1.2</t>
  </si>
  <si>
    <t>3.2.1</t>
  </si>
  <si>
    <t>3.2.2</t>
  </si>
  <si>
    <t>3.3.1</t>
  </si>
  <si>
    <t>3.3.2</t>
  </si>
  <si>
    <t>ID</t>
  </si>
  <si>
    <t>1.1.5</t>
  </si>
  <si>
    <t>1.1.6</t>
  </si>
  <si>
    <t>1.1.7</t>
  </si>
  <si>
    <t>1.1.8</t>
  </si>
  <si>
    <t>6. ABC</t>
  </si>
  <si>
    <t>abcdef</t>
  </si>
  <si>
    <t>ghijk</t>
  </si>
  <si>
    <t>-</t>
  </si>
  <si>
    <t>■</t>
  </si>
  <si>
    <t xml:space="preserve">  ├─</t>
  </si>
  <si>
    <t xml:space="preserve">  │  ├─</t>
  </si>
  <si>
    <t>Ver.0.0</t>
  </si>
  <si>
    <t>ステータス</t>
  </si>
  <si>
    <t>6.2</t>
  </si>
  <si>
    <t>1.1.9</t>
  </si>
  <si>
    <t>1.1.10</t>
  </si>
  <si>
    <t>Phase</t>
  </si>
  <si>
    <t>Task Name</t>
  </si>
  <si>
    <t>Details</t>
  </si>
  <si>
    <t>Owner</t>
  </si>
  <si>
    <t>Planned Start</t>
  </si>
  <si>
    <t>Planned End</t>
  </si>
  <si>
    <t>Actual Start</t>
  </si>
  <si>
    <t>Actual End</t>
  </si>
  <si>
    <t>Status</t>
  </si>
  <si>
    <t>Notes</t>
  </si>
  <si>
    <t>1. Planning &amp; Current State Analysis</t>
  </si>
  <si>
    <t>Current Operations Inventory</t>
  </si>
  <si>
    <t>Revise Current Business Process Flowcharts</t>
  </si>
  <si>
    <t>Review Current SLA &amp; Performance Evaluation</t>
  </si>
  <si>
    <t>Create RACI Responsibility Matrix</t>
  </si>
  <si>
    <t>Identify Exception &amp; Non-Standard Processes</t>
  </si>
  <si>
    <t>Review Social Insurance &amp; Labor Insurance Operations</t>
  </si>
  <si>
    <t>Review Resignation &amp; Leave of Absence Procedures</t>
  </si>
  <si>
    <t>Review Benefits-Related Administrative Tasks</t>
  </si>
  <si>
    <t>Review Year-End Tax Adjustment Processes</t>
  </si>
  <si>
    <t>Budget &amp; Schedule Planning</t>
  </si>
  <si>
    <t>Estimate Transition Costs</t>
  </si>
  <si>
    <t>Create Project Roadmap</t>
  </si>
  <si>
    <t>Develop Resource Plan</t>
  </si>
  <si>
    <t>Define scope of target business operations</t>
  </si>
  <si>
    <t>Update and visualize payroll, social insurance, and attendance processes</t>
  </si>
  <si>
    <t>Identify current vendor performance gaps and unmet items</t>
  </si>
  <si>
    <t>Clarify responsibilities among internal HR, IT, and current vendor</t>
  </si>
  <si>
    <t>Identify undocumented special handling procedures</t>
  </si>
  <si>
    <t>Map health insurance and pension enrollment/disenrollment, standard remuneration, and monthly changes</t>
  </si>
  <si>
    <t>Visualize severance pay calculations, separation certificates, parental/sick leave benefits</t>
  </si>
  <si>
    <t>Organize allowances, ESOP, savings plans, health check booking coordination, etc.</t>
  </si>
  <si>
    <t>Identify year-end adjustment schedule, filing systems, and e-filing usage</t>
  </si>
  <si>
    <t>Obtain approval for project execution plan</t>
  </si>
  <si>
    <t>Compare initial implementation costs vs. ongoing operating costs</t>
  </si>
  <si>
    <t>Create timeline from RFP issuance through go-live</t>
  </si>
  <si>
    <t>Secure internal team capacity and establish project structure</t>
  </si>
  <si>
    <t>2. Vendor Selection</t>
  </si>
  <si>
    <t>Prepare &amp; Send RFI/RFP</t>
  </si>
  <si>
    <t>Evaluate Proposals &amp; Select Vendor</t>
  </si>
  <si>
    <t>Distribute RFP and manage Q&amp;A process</t>
  </si>
  <si>
    <t>Conduct presentations and score-based selection</t>
  </si>
  <si>
    <t>3. Transition Preparation (Design)</t>
  </si>
  <si>
    <t>Design To-Be Business Processes</t>
  </si>
  <si>
    <t>Gap Analysis of Business Processes</t>
  </si>
  <si>
    <t>Redesign Approval Workflows</t>
  </si>
  <si>
    <t>System/Data Integration Design</t>
  </si>
  <si>
    <t>Create Interface Specifications</t>
  </si>
  <si>
    <t>Master Data Mapping</t>
  </si>
  <si>
    <t>Develop Migration Plan</t>
  </si>
  <si>
    <t>Data Cleansing Plan</t>
  </si>
  <si>
    <t>Parallel Run Plan</t>
  </si>
  <si>
    <t>Optimize operations under new vendor structure</t>
  </si>
  <si>
    <t>Identify gaps between current and new vendor standard capabilities</t>
  </si>
  <si>
    <t>Configure approval routes and HRIS permissions</t>
  </si>
  <si>
    <t>Ensure data integrity</t>
  </si>
  <si>
    <t>Define integration points with HCM, payroll systems, etc.</t>
  </si>
  <si>
    <t>Reconcile organization codes, names, and attribute definitions</t>
  </si>
  <si>
    <t>Minimize transition risks</t>
  </si>
  <si>
    <t>Identify HR data requiring correction before migration</t>
  </si>
  <si>
    <t>Define payroll dual-verification period and test population</t>
  </si>
  <si>
    <t>4. Build &amp; Test</t>
  </si>
  <si>
    <t>User Acceptance Testing (UAT)</t>
  </si>
  <si>
    <t>Operational testing based on business scenarios</t>
  </si>
  <si>
    <t>5. Migration &amp; Parallel Run</t>
  </si>
  <si>
    <t>Execute Parallel Run</t>
  </si>
  <si>
    <t>Go-Live Cutover</t>
  </si>
  <si>
    <t>Reconcile payroll calculations between current and new vendor</t>
  </si>
  <si>
    <t>Complete transition to new vendor</t>
  </si>
  <si>
    <t>In Progress</t>
  </si>
  <si>
    <t>Not Started</t>
  </si>
  <si>
    <t>Manage the full process flowchart revision (1.1.1) and individual operations inventory sheets (1.1.5 onward) as separate deliverables (suited for large projects). Alternatively, organize by business area within the flowchart revision (suited for small to mid-size projects).</t>
  </si>
  <si>
    <t>Add individual outsourced operations from 1.1.5 onward</t>
  </si>
  <si>
    <t>Phase / Task Name</t>
  </si>
  <si>
    <t>WBS User Guide</t>
  </si>
  <si>
    <t>■ Sheet Structure</t>
  </si>
  <si>
    <t>Sheet Name</t>
  </si>
  <si>
    <t>Purpose</t>
  </si>
  <si>
    <t>Editing</t>
  </si>
  <si>
    <t>WBS Input</t>
  </si>
  <si>
    <t>Data entry and editing. All changes are made here.</t>
  </si>
  <si>
    <t>○ Editable</t>
  </si>
  <si>
    <t>WBS Tree View</t>
  </si>
  <si>
    <t>Tree-format read-only view. Formulas automatically reference "WBS Input".</t>
  </si>
  <si>
    <t>▲ Do not directly edit cells (formulas will break). Adding rows and copying formulas is OK.</t>
  </si>
  <si>
    <t>User Guide</t>
  </si>
  <si>
    <t>This sheet. Explains usage and maintenance procedures.</t>
  </si>
  <si>
    <t>■ How to Use the "WBS Input" Sheet</t>
  </si>
  <si>
    <t>Column Layout:</t>
  </si>
  <si>
    <t xml:space="preserve">  Column A (Phase)</t>
  </si>
  <si>
    <t xml:space="preserve">  Column B (ID)</t>
  </si>
  <si>
    <t xml:space="preserve">  Column C (Task Name)</t>
  </si>
  <si>
    <t xml:space="preserve">  Column D (Details)</t>
  </si>
  <si>
    <t>Enter only the phase name. Example: "1. Planning &amp; Current State Analysis"</t>
  </si>
  <si>
    <t>WBS number. Example: 1.1 / 1.1.1 / 1.3.2</t>
  </si>
  <si>
    <t>Name of the task</t>
  </si>
  <si>
    <t>Description/definition of the task</t>
  </si>
  <si>
    <t>Row Types:</t>
  </si>
  <si>
    <t xml:space="preserve">  Phase Row</t>
  </si>
  <si>
    <t xml:space="preserve">  Mid-Level Task Row</t>
  </si>
  <si>
    <t xml:space="preserve">  Leaf Task Row</t>
  </si>
  <si>
    <t>Enter the phase name in column A only. Leave columns B, C, and D blank.</t>
  </si>
  <si>
    <t>Enter ID (one dot) in column B. Example: 1.1 / 2.1 / 3.2</t>
  </si>
  <si>
    <t>Enter ID (two dots) in column B. Example: 1.1.1 / 3.2.2</t>
  </si>
  <si>
    <t>Important Rules:</t>
  </si>
  <si>
    <t>Phase rows: only fill column A. Do not enter data in columns B, C, or D.</t>
  </si>
  <si>
    <t>Task rows: leave column A blank and start entering from column B.</t>
  </si>
  <si>
    <t>Place tasks directly below their phase (the order is reflected in the tree view).</t>
  </si>
  <si>
    <t>■ Maintenance Procedures</t>
  </si>
  <si>
    <t>Action</t>
  </si>
  <si>
    <t>WBS Input Sheet</t>
  </si>
  <si>
    <t>Change task name/details</t>
  </si>
  <si>
    <t>Edit column C or D in WBS Input sheet</t>
  </si>
  <si>
    <t>Auto-updated. No action needed.</t>
  </si>
  <si>
    <t>Change ID</t>
  </si>
  <si>
    <t>Edit column B in WBS Input sheet</t>
  </si>
  <si>
    <t>Auto-updated. Tree hierarchy adjusts automatically.</t>
  </si>
  <si>
    <t>Insert task between existing rows</t>
  </si>
  <si>
    <t>Insert a row in WBS Input sheet and enter data</t>
  </si>
  <si>
    <t>Auto-updated if within the formula reserve rows. Otherwise, extend formulas per instructions below.</t>
  </si>
  <si>
    <t>Add task at the end</t>
  </si>
  <si>
    <t>Add a row at the bottom of WBS Input sheet and enter data</t>
  </si>
  <si>
    <t>Row addition needed on Tree View side as well. See instructions below.</t>
  </si>
  <si>
    <t>Add a phase</t>
  </si>
  <si>
    <t>Add a phase row (column A only) and task rows</t>
  </si>
  <si>
    <t>Delete a task</t>
  </si>
  <si>
    <t>Delete the row in WBS Input sheet</t>
  </si>
  <si>
    <t>Deleted rows will show #REF! errors. Copy formulas from a non-error row to fix the Tree View.</t>
  </si>
  <si>
    <t>■ How to Extend Formulas in the WBS Tree View</t>
  </si>
  <si>
    <t>If WBS Input grows beyond the Tree View's formula reserve rows (whether appending or inserting), you need to extend the formula range on the Tree View side.</t>
  </si>
  <si>
    <t xml:space="preserve">  Step 1:</t>
  </si>
  <si>
    <t>Open the WBS Tree View sheet</t>
  </si>
  <si>
    <t xml:space="preserve">  Step 2:</t>
  </si>
  <si>
    <t>Select the last row that contains formulas</t>
  </si>
  <si>
    <t xml:space="preserve">  Step 3:</t>
  </si>
  <si>
    <t>Select all 3 cells in columns A, B, and C, then drag the fill handle (■) down to the required number of rows</t>
  </si>
  <si>
    <t xml:space="preserve">  Step 4:</t>
  </si>
  <si>
    <t>Formulas are copied to the new rows and WBS Input data is displayed automatically</t>
  </si>
  <si>
    <t>※ If there are enough reserve rows, this step is not needed. The current formula range extends to row 100.</t>
  </si>
  <si>
    <t>■ How the Tree View Works</t>
  </si>
  <si>
    <t>Symbol</t>
  </si>
  <si>
    <t>Level</t>
  </si>
  <si>
    <t>Detection Logic</t>
  </si>
  <si>
    <t>Row where column A (Phase) in WBS Input is not empty</t>
  </si>
  <si>
    <t>Mid-Level Task</t>
  </si>
  <si>
    <t>Column B ID has 1 or fewer dots (e.g., 1.1, 2.1)</t>
  </si>
  <si>
    <t>Leaf Task</t>
  </si>
  <si>
    <t>Column B ID has 2 or more dots (e.g., 1.1.1, 3.2.2)</t>
  </si>
  <si>
    <t>Formatting:</t>
  </si>
  <si>
    <t>Blue background + Bold + 11pt (auto-applied via conditional formatting)</t>
  </si>
  <si>
    <t>Bold (auto-applied via conditional formatting)</t>
  </si>
  <si>
    <t>Normal formatting</t>
  </si>
  <si>
    <t>aaaaaa</t>
  </si>
  <si>
    <t>bbbbbb</t>
  </si>
  <si>
    <t>cccccc</t>
  </si>
  <si>
    <t>dddddd</t>
  </si>
  <si>
    <t>Alice</t>
  </si>
  <si>
    <t>Bob</t>
  </si>
  <si>
    <t>Project WBS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</si>
</sst>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b/>
      <sz val="14"/>
      <color theme="1"/>
      <name val="Aptos Narrow"/>
      <family val="2"/>
      <scheme val="minor"/>
    </font>
    <font>
      <sz val="11"/>
      <color theme="1"/>
      <name val="Meiryo UI"/>
      <family val="2"/>
    </font>
    <font>
      <sz val="10"/>
      <color theme="1"/>
      <name val="Meiryo UI"/>
      <family val="2"/>
    </font>
    <font>
      <b/>
      <sz val="11"/>
      <color theme="1"/>
      <name val="Meiryo UI"/>
      <family val="2"/>
    </font>
    <font>
      <b/>
      <sz val="16"/>
      <color rgb="FF1F3864"/>
      <name val="Meiryo UI"/>
      <family val="2"/>
    </font>
    <font>
      <b/>
      <sz val="12"/>
      <color rgb="FF1F3864"/>
      <name val="Meiryo UI"/>
      <family val="2"/>
    </font>
    <font>
      <b/>
      <sz val="11"/>
      <color rgb="FFFFFFFF"/>
      <name val="Meiryo UI"/>
      <family val="2"/>
    </font>
    <font>
      <sz val="11"/>
      <color rgb="FFFF0000"/>
      <name val="Meiryo UI"/>
      <family val="2"/>
    </font>
    <font>
      <b/>
      <sz val="11"/>
      <color rgb="FFFF0000"/>
      <name val="Meiryo UI"/>
      <family val="2"/>
    </font>
    <font>
      <b/>
      <sz val="12"/>
      <color theme="1"/>
      <name val="Meiryo UI"/>
      <family val="2"/>
    </font>
    <font>
      <b/>
      <sz val="9"/>
      <color rgb="FFFFFFFF"/>
      <name val="Aptos Narrow"/>
      <family val="2"/>
      <scheme val="minor"/>
    </font>
    <font>
      <b/>
      <sz val="11"/>
      <name val="Meiryo UI"/>
      <family val="2"/>
    </font>
    <font>
      <b/>
      <sz val="9"/>
      <color rgb="FFFFFFFF"/>
      <name val="Aptos Narrow"/>
      <scheme val="minor"/>
    </font>
    <font>
      <sz val="11"/>
      <color rgb="FF000000"/>
      <name val="Aptos Narrow"/>
      <scheme val="minor"/>
    </font>
    <font>
      <sz val="8"/>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rgb="FFD6E4F0"/>
        <bgColor indexed="64"/>
      </patternFill>
    </fill>
  </fills>
  <borders count="6">
    <border>
      <left/>
      <right/>
      <top/>
      <bottom/>
      <diagonal/>
    </border>
    <border>
      <left/>
      <right/>
      <top/>
      <bottom style="medium">
        <color auto="1"/>
      </bottom>
      <diagonal/>
    </border>
    <border>
      <left/>
      <right/>
      <top/>
      <bottom style="thin">
        <color rgb="FFD9D9D9"/>
      </bottom>
      <diagonal/>
    </border>
    <border>
      <left/>
      <right/>
      <top style="thin">
        <color rgb="FFD9D9D9"/>
      </top>
      <bottom style="thin">
        <color rgb="FFD9D9D9"/>
      </bottom>
      <diagonal/>
    </border>
    <border>
      <left/>
      <right/>
      <top style="medium">
        <color rgb="FF000000"/>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10" fillId="0" borderId="0" xfId="0" applyFont="1"/>
    <xf numFmtId="0" fontId="8" fillId="2" borderId="2" xfId="0" applyFont="1" applyFill="1" applyBorder="1"/>
    <xf numFmtId="0" fontId="5" fillId="0" borderId="3" xfId="0" applyFont="1" applyBorder="1"/>
    <xf numFmtId="0" fontId="3" fillId="0" borderId="3" xfId="0" applyFont="1" applyBorder="1"/>
    <xf numFmtId="0" fontId="9" fillId="0" borderId="3" xfId="0" applyFont="1" applyBorder="1"/>
    <xf numFmtId="0" fontId="10" fillId="0" borderId="3" xfId="0" applyFont="1" applyBorder="1"/>
    <xf numFmtId="0" fontId="11" fillId="0" borderId="3" xfId="0" applyFont="1" applyBorder="1"/>
    <xf numFmtId="0" fontId="1" fillId="0" borderId="0" xfId="0" applyFont="1" applyAlignment="1">
      <alignment horizontal="left"/>
    </xf>
    <xf numFmtId="14" fontId="0" fillId="0" borderId="0" xfId="0" applyNumberFormat="1"/>
    <xf numFmtId="0" fontId="0" fillId="0" borderId="0" xfId="0" applyAlignment="1">
      <alignment horizontal="right"/>
    </xf>
    <xf numFmtId="14" fontId="0" fillId="0" borderId="0" xfId="0" applyNumberFormat="1" applyAlignment="1">
      <alignment horizontal="right"/>
    </xf>
    <xf numFmtId="0" fontId="12" fillId="2" borderId="1" xfId="0" applyFont="1" applyFill="1" applyBorder="1" applyAlignment="1">
      <alignment horizontal="center"/>
    </xf>
    <xf numFmtId="0" fontId="2" fillId="0" borderId="0" xfId="0" applyFont="1" applyAlignment="1">
      <alignment horizontal="left"/>
    </xf>
    <xf numFmtId="0" fontId="13" fillId="0" borderId="0" xfId="0" applyFont="1"/>
    <xf numFmtId="49" fontId="1" fillId="0" borderId="0" xfId="0" applyNumberFormat="1" applyFont="1"/>
    <xf numFmtId="49" fontId="12" fillId="2" borderId="1" xfId="0" applyNumberFormat="1" applyFont="1" applyFill="1" applyBorder="1" applyAlignment="1">
      <alignment horizontal="center"/>
    </xf>
    <xf numFmtId="49" fontId="1" fillId="0" borderId="0" xfId="0" applyNumberFormat="1" applyFont="1" applyAlignment="1">
      <alignment horizontal="left"/>
    </xf>
    <xf numFmtId="0" fontId="12" fillId="2" borderId="0" xfId="0" applyFont="1" applyFill="1" applyAlignment="1">
      <alignment horizontal="center"/>
    </xf>
    <xf numFmtId="0" fontId="14" fillId="2" borderId="0" xfId="0" applyFont="1" applyFill="1" applyAlignment="1">
      <alignment horizontal="center"/>
    </xf>
    <xf numFmtId="14" fontId="15" fillId="0" borderId="4" xfId="0" applyNumberFormat="1" applyFont="1" applyBorder="1" applyAlignment="1">
      <alignment horizontal="center"/>
    </xf>
    <xf numFmtId="14" fontId="15" fillId="0" borderId="0" xfId="0" applyNumberFormat="1" applyFont="1" applyAlignment="1">
      <alignment horizontal="center"/>
    </xf>
    <xf numFmtId="0" fontId="15" fillId="0" borderId="4" xfId="0" applyFont="1" applyBorder="1" applyAlignment="1">
      <alignment horizontal="center"/>
    </xf>
    <xf numFmtId="0" fontId="15" fillId="0" borderId="0" xfId="0" applyFont="1" applyAlignment="1">
      <alignment horizontal="center"/>
    </xf>
    <xf numFmtId="0" fontId="4" fillId="3" borderId="5" xfId="0" applyFont="1" applyFill="1" applyBorder="1" applyAlignment="1">
      <alignment horizontal="center"/>
    </xf>
  </cellXfs>
  <cellStyles count="1">
    <cellStyle name="Normal" xfId="0" builtinId="0"/>
  </cellStyles>
  <dxfs count="26">
    <dxf>
      <font>
        <color rgb="FF833C0C"/>
      </font>
      <fill>
        <patternFill patternType="solid">
          <fgColor indexed="64"/>
          <bgColor rgb="FFF4B084"/>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595959"/>
      </font>
      <fill>
        <patternFill patternType="solid">
          <fgColor indexed="64"/>
          <bgColor rgb="FFD9D9D9"/>
        </patternFill>
      </fill>
    </dxf>
    <dxf>
      <font>
        <color rgb="FF833C0C"/>
      </font>
      <fill>
        <patternFill patternType="solid">
          <fgColor indexed="64"/>
          <bgColor rgb="FFF4B084"/>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BDD7EE"/>
        </patternFill>
      </fill>
    </dxf>
    <dxf>
      <font>
        <color rgb="FF595959"/>
      </font>
      <fill>
        <patternFill patternType="solid">
          <fgColor indexed="64"/>
          <bgColor rgb="FFD9D9D9"/>
        </patternFill>
      </fill>
    </dxf>
    <dxf>
      <font>
        <color rgb="FFA0A0A0"/>
      </font>
      <fill>
        <patternFill patternType="solid">
          <fgColor indexed="64"/>
          <bgColor rgb="FFE0E0E0"/>
        </patternFill>
      </fill>
    </dxf>
    <dxf>
      <font>
        <color rgb="FF808080"/>
      </font>
      <fill>
        <patternFill patternType="solid">
          <fgColor indexed="64"/>
          <bgColor rgb="FFF2F2F2"/>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1F4E79"/>
      </font>
      <fill>
        <patternFill patternType="solid">
          <fgColor indexed="64"/>
          <bgColor rgb="FFD6E4F0"/>
        </patternFill>
      </fill>
    </dxf>
    <dxf>
      <font>
        <color rgb="FF006100"/>
      </font>
      <fill>
        <patternFill patternType="solid">
          <fgColor indexed="64"/>
          <bgColor rgb="FFC6EFCE"/>
        </patternFill>
      </fill>
    </dxf>
    <dxf>
      <font>
        <b/>
        <i val="0"/>
      </font>
    </dxf>
    <dxf>
      <font>
        <b/>
        <i val="0"/>
      </font>
      <fill>
        <patternFill patternType="solid">
          <fgColor indexed="64"/>
          <bgColor rgb="FFD6E4F0"/>
        </patternFill>
      </fill>
    </dxf>
    <dxf>
      <font>
        <color rgb="FF808080"/>
      </font>
      <fill>
        <patternFill patternType="solid">
          <fgColor indexed="64"/>
          <bgColor rgb="FFF2F2F2"/>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1F4E79"/>
      </font>
      <fill>
        <patternFill patternType="solid">
          <fgColor indexed="64"/>
          <bgColor rgb="FFD6E4F0"/>
        </patternFill>
      </fill>
    </dxf>
    <dxf>
      <font>
        <color rgb="FF006100"/>
      </font>
      <fill>
        <patternFill patternType="solid">
          <fgColor indexed="64"/>
          <bgColor rgb="FFC6EFCE"/>
        </patternFill>
      </fill>
    </dxf>
    <dxf>
      <font>
        <color rgb="FFA0A0A0"/>
      </font>
      <fill>
        <patternFill patternType="solid">
          <fgColor indexed="64"/>
          <bgColor rgb="FFE0E0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FABE39-2A3E-4ABD-B380-F92AB20FC45B}">
  <we:reference id="WA200009404" version="1.0.0.8" store="Omex" storeType="OMEX"/>
  <we:alternateReferences>
    <we:reference id="WA200009404" version="1.0.0.8" store="" storeType="OMEX"/>
  </we:alternateReferences>
  <we:properties>
    <we:property name="claude.fileId" value="&quot;a22654a7-936b-4d55-b786-2ba42b88063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7FA8-15DC-43F7-A7DD-AF0F8570FC3D}">
  <sheetPr>
    <tabColor theme="4" tint="0.79998168889431442"/>
  </sheetPr>
  <dimension ref="A1:K41"/>
  <sheetViews>
    <sheetView tabSelected="1" zoomScale="55" zoomScaleNormal="55" workbookViewId="0">
      <pane ySplit="4" topLeftCell="A5" activePane="bottomLeft" state="frozen"/>
      <selection pane="bottomLeft" activeCell="A2" sqref="A2"/>
    </sheetView>
  </sheetViews>
  <sheetFormatPr defaultRowHeight="14.4" outlineLevelCol="1" x14ac:dyDescent="0.3"/>
  <cols>
    <col min="1" max="1" width="25.44140625" style="15" customWidth="1"/>
    <col min="2" max="2" width="8.6640625" style="22" customWidth="1"/>
    <col min="3" max="3" width="39.44140625" customWidth="1"/>
    <col min="4" max="4" width="60.33203125" customWidth="1"/>
    <col min="5" max="5" width="13.33203125" customWidth="1"/>
    <col min="6" max="9" width="16.6640625" customWidth="1" outlineLevel="1"/>
    <col min="10" max="10" width="15.77734375" customWidth="1"/>
    <col min="11" max="11" width="72" customWidth="1"/>
  </cols>
  <sheetData>
    <row r="1" spans="1:11" ht="18" x14ac:dyDescent="0.35">
      <c r="A1" s="20" t="s">
        <v>188</v>
      </c>
      <c r="D1" s="17" t="s">
        <v>25</v>
      </c>
    </row>
    <row r="2" spans="1:11" x14ac:dyDescent="0.3">
      <c r="D2" s="16">
        <v>46125</v>
      </c>
    </row>
    <row r="3" spans="1:11" x14ac:dyDescent="0.3">
      <c r="D3" s="16"/>
    </row>
    <row r="4" spans="1:11" ht="15" thickBot="1" x14ac:dyDescent="0.35">
      <c r="A4" s="19" t="s">
        <v>30</v>
      </c>
      <c r="B4" s="23" t="s">
        <v>13</v>
      </c>
      <c r="C4" s="19" t="s">
        <v>31</v>
      </c>
      <c r="D4" s="19" t="s">
        <v>32</v>
      </c>
      <c r="E4" s="26" t="s">
        <v>33</v>
      </c>
      <c r="F4" s="26" t="s">
        <v>34</v>
      </c>
      <c r="G4" s="26" t="s">
        <v>35</v>
      </c>
      <c r="H4" s="26" t="s">
        <v>36</v>
      </c>
      <c r="I4" s="26" t="s">
        <v>37</v>
      </c>
      <c r="J4" s="26" t="s">
        <v>38</v>
      </c>
      <c r="K4" s="19" t="s">
        <v>39</v>
      </c>
    </row>
    <row r="5" spans="1:11" x14ac:dyDescent="0.3">
      <c r="A5" s="15" t="s">
        <v>40</v>
      </c>
      <c r="B5" s="24"/>
      <c r="E5" s="29"/>
      <c r="F5" s="27"/>
      <c r="G5" s="27"/>
      <c r="H5" s="27"/>
      <c r="I5" s="27"/>
      <c r="J5" s="29"/>
    </row>
    <row r="6" spans="1:11" x14ac:dyDescent="0.3">
      <c r="B6" s="24">
        <v>1.1000000000000001</v>
      </c>
      <c r="C6" t="s">
        <v>41</v>
      </c>
      <c r="D6" t="s">
        <v>54</v>
      </c>
      <c r="E6" s="30" t="s">
        <v>186</v>
      </c>
      <c r="F6" s="28">
        <v>46113</v>
      </c>
      <c r="G6" s="28">
        <v>46143</v>
      </c>
      <c r="H6" s="28">
        <v>46113</v>
      </c>
      <c r="I6" s="28"/>
      <c r="J6" s="30" t="s">
        <v>99</v>
      </c>
    </row>
    <row r="7" spans="1:11" x14ac:dyDescent="0.3">
      <c r="B7" s="24" t="s">
        <v>0</v>
      </c>
      <c r="C7" t="s">
        <v>42</v>
      </c>
      <c r="D7" t="s">
        <v>55</v>
      </c>
      <c r="E7" s="30" t="s">
        <v>186</v>
      </c>
      <c r="F7" s="28">
        <v>46113</v>
      </c>
      <c r="G7" s="28">
        <v>46143</v>
      </c>
      <c r="H7" s="28">
        <v>46115</v>
      </c>
      <c r="I7" s="28"/>
      <c r="J7" s="30" t="s">
        <v>99</v>
      </c>
      <c r="K7" t="s">
        <v>101</v>
      </c>
    </row>
    <row r="8" spans="1:11" x14ac:dyDescent="0.3">
      <c r="B8" s="24" t="s">
        <v>1</v>
      </c>
      <c r="C8" t="s">
        <v>43</v>
      </c>
      <c r="D8" t="s">
        <v>56</v>
      </c>
      <c r="E8" s="30" t="s">
        <v>187</v>
      </c>
      <c r="F8" s="28">
        <v>46113</v>
      </c>
      <c r="G8" s="28">
        <v>46127</v>
      </c>
      <c r="H8" s="28"/>
      <c r="I8" s="28"/>
      <c r="J8" s="30" t="s">
        <v>100</v>
      </c>
    </row>
    <row r="9" spans="1:11" x14ac:dyDescent="0.3">
      <c r="B9" s="24" t="s">
        <v>2</v>
      </c>
      <c r="C9" t="s">
        <v>44</v>
      </c>
      <c r="D9" t="s">
        <v>57</v>
      </c>
      <c r="E9" s="30"/>
      <c r="F9" s="28"/>
      <c r="G9" s="28"/>
      <c r="H9" s="28"/>
      <c r="I9" s="28"/>
      <c r="J9" s="30"/>
    </row>
    <row r="10" spans="1:11" x14ac:dyDescent="0.3">
      <c r="B10" s="24" t="s">
        <v>3</v>
      </c>
      <c r="C10" t="s">
        <v>45</v>
      </c>
      <c r="D10" t="s">
        <v>58</v>
      </c>
      <c r="E10" s="30"/>
      <c r="F10" s="28"/>
      <c r="G10" s="28"/>
      <c r="H10" s="28"/>
      <c r="I10" s="28"/>
      <c r="J10" s="30"/>
    </row>
    <row r="11" spans="1:11" x14ac:dyDescent="0.3">
      <c r="B11" s="24" t="s">
        <v>14</v>
      </c>
      <c r="C11" t="s">
        <v>46</v>
      </c>
      <c r="D11" t="s">
        <v>59</v>
      </c>
      <c r="E11" s="30"/>
      <c r="F11" s="28"/>
      <c r="G11" s="28"/>
      <c r="H11" s="28"/>
      <c r="I11" s="28"/>
      <c r="J11" s="30"/>
      <c r="K11" t="s">
        <v>102</v>
      </c>
    </row>
    <row r="12" spans="1:11" x14ac:dyDescent="0.3">
      <c r="B12" s="24" t="s">
        <v>15</v>
      </c>
      <c r="C12" t="s">
        <v>47</v>
      </c>
      <c r="D12" t="s">
        <v>60</v>
      </c>
      <c r="E12" s="30"/>
      <c r="F12" s="28"/>
      <c r="G12" s="28"/>
      <c r="H12" s="28"/>
      <c r="I12" s="28"/>
      <c r="J12" s="30"/>
    </row>
    <row r="13" spans="1:11" x14ac:dyDescent="0.3">
      <c r="B13" s="24" t="s">
        <v>16</v>
      </c>
      <c r="C13" t="s">
        <v>48</v>
      </c>
      <c r="D13" t="s">
        <v>61</v>
      </c>
      <c r="E13" s="30"/>
      <c r="F13" s="28"/>
      <c r="G13" s="28"/>
      <c r="H13" s="28"/>
      <c r="I13" s="28"/>
      <c r="J13" s="30"/>
    </row>
    <row r="14" spans="1:11" x14ac:dyDescent="0.3">
      <c r="B14" s="24" t="s">
        <v>17</v>
      </c>
      <c r="C14" t="s">
        <v>49</v>
      </c>
      <c r="D14" t="s">
        <v>62</v>
      </c>
      <c r="E14" s="30"/>
      <c r="F14" s="28"/>
      <c r="G14" s="28"/>
      <c r="H14" s="28"/>
      <c r="I14" s="28"/>
      <c r="J14" s="30"/>
    </row>
    <row r="15" spans="1:11" x14ac:dyDescent="0.3">
      <c r="B15" s="24" t="s">
        <v>28</v>
      </c>
      <c r="C15" t="s">
        <v>19</v>
      </c>
      <c r="D15" t="s">
        <v>182</v>
      </c>
      <c r="E15" s="30"/>
      <c r="F15" s="28"/>
      <c r="G15" s="28"/>
      <c r="H15" s="28"/>
      <c r="I15" s="28"/>
      <c r="J15" s="30"/>
    </row>
    <row r="16" spans="1:11" x14ac:dyDescent="0.3">
      <c r="B16" s="24" t="s">
        <v>29</v>
      </c>
      <c r="C16" t="s">
        <v>20</v>
      </c>
      <c r="D16" t="s">
        <v>183</v>
      </c>
      <c r="E16" s="30"/>
      <c r="F16" s="28"/>
      <c r="G16" s="28"/>
      <c r="H16" s="28"/>
      <c r="I16" s="28"/>
      <c r="J16" s="30"/>
    </row>
    <row r="17" spans="1:10" x14ac:dyDescent="0.3">
      <c r="B17" s="24">
        <v>1.3</v>
      </c>
      <c r="C17" t="s">
        <v>50</v>
      </c>
      <c r="D17" t="s">
        <v>63</v>
      </c>
      <c r="E17" s="30"/>
      <c r="F17" s="28"/>
      <c r="G17" s="28"/>
      <c r="H17" s="28"/>
      <c r="I17" s="28"/>
      <c r="J17" s="30"/>
    </row>
    <row r="18" spans="1:10" x14ac:dyDescent="0.3">
      <c r="B18" s="24" t="s">
        <v>4</v>
      </c>
      <c r="C18" t="s">
        <v>51</v>
      </c>
      <c r="D18" t="s">
        <v>64</v>
      </c>
      <c r="E18" s="30"/>
      <c r="F18" s="28"/>
      <c r="G18" s="28"/>
      <c r="H18" s="28"/>
      <c r="I18" s="28"/>
      <c r="J18" s="30"/>
    </row>
    <row r="19" spans="1:10" x14ac:dyDescent="0.3">
      <c r="B19" s="24" t="s">
        <v>5</v>
      </c>
      <c r="C19" t="s">
        <v>52</v>
      </c>
      <c r="D19" t="s">
        <v>65</v>
      </c>
      <c r="E19" s="30"/>
      <c r="F19" s="28"/>
      <c r="G19" s="28"/>
      <c r="H19" s="28"/>
      <c r="I19" s="28"/>
      <c r="J19" s="30"/>
    </row>
    <row r="20" spans="1:10" x14ac:dyDescent="0.3">
      <c r="B20" s="24" t="s">
        <v>6</v>
      </c>
      <c r="C20" t="s">
        <v>53</v>
      </c>
      <c r="D20" t="s">
        <v>66</v>
      </c>
      <c r="E20" s="30"/>
      <c r="F20" s="28"/>
      <c r="G20" s="28"/>
      <c r="H20" s="28"/>
      <c r="I20" s="28"/>
      <c r="J20" s="30"/>
    </row>
    <row r="21" spans="1:10" x14ac:dyDescent="0.3">
      <c r="A21" s="15" t="s">
        <v>67</v>
      </c>
      <c r="B21" s="24"/>
      <c r="E21" s="30"/>
      <c r="F21" s="28"/>
      <c r="G21" s="28"/>
      <c r="H21" s="28"/>
      <c r="I21" s="28"/>
      <c r="J21" s="30"/>
    </row>
    <row r="22" spans="1:10" x14ac:dyDescent="0.3">
      <c r="B22" s="24">
        <v>2.1</v>
      </c>
      <c r="C22" t="s">
        <v>68</v>
      </c>
      <c r="D22" t="s">
        <v>70</v>
      </c>
      <c r="E22" s="30"/>
      <c r="F22" s="28"/>
      <c r="G22" s="28"/>
      <c r="H22" s="28"/>
      <c r="I22" s="28"/>
      <c r="J22" s="30"/>
    </row>
    <row r="23" spans="1:10" x14ac:dyDescent="0.3">
      <c r="B23" s="24">
        <v>2.2000000000000002</v>
      </c>
      <c r="C23" t="s">
        <v>69</v>
      </c>
      <c r="D23" t="s">
        <v>71</v>
      </c>
      <c r="E23" s="30"/>
      <c r="F23" s="28"/>
      <c r="G23" s="28"/>
      <c r="H23" s="28"/>
      <c r="I23" s="28"/>
      <c r="J23" s="30"/>
    </row>
    <row r="24" spans="1:10" x14ac:dyDescent="0.3">
      <c r="A24" s="15" t="s">
        <v>72</v>
      </c>
      <c r="B24" s="24"/>
      <c r="E24" s="30"/>
      <c r="F24" s="28"/>
      <c r="G24" s="28"/>
      <c r="H24" s="28"/>
      <c r="I24" s="28"/>
      <c r="J24" s="30"/>
    </row>
    <row r="25" spans="1:10" x14ac:dyDescent="0.3">
      <c r="B25" s="24">
        <v>3.1</v>
      </c>
      <c r="C25" t="s">
        <v>73</v>
      </c>
      <c r="D25" t="s">
        <v>82</v>
      </c>
      <c r="E25" s="30"/>
      <c r="F25" s="28"/>
      <c r="G25" s="28"/>
      <c r="H25" s="28"/>
      <c r="I25" s="28"/>
      <c r="J25" s="30"/>
    </row>
    <row r="26" spans="1:10" x14ac:dyDescent="0.3">
      <c r="B26" s="24" t="s">
        <v>7</v>
      </c>
      <c r="C26" t="s">
        <v>74</v>
      </c>
      <c r="D26" t="s">
        <v>83</v>
      </c>
      <c r="E26" s="30"/>
      <c r="F26" s="28"/>
      <c r="G26" s="28"/>
      <c r="H26" s="28"/>
      <c r="I26" s="28"/>
      <c r="J26" s="30"/>
    </row>
    <row r="27" spans="1:10" x14ac:dyDescent="0.3">
      <c r="B27" s="24" t="s">
        <v>8</v>
      </c>
      <c r="C27" t="s">
        <v>75</v>
      </c>
      <c r="D27" t="s">
        <v>84</v>
      </c>
      <c r="E27" s="30"/>
      <c r="F27" s="28"/>
      <c r="G27" s="28"/>
      <c r="H27" s="28"/>
      <c r="I27" s="28"/>
      <c r="J27" s="30"/>
    </row>
    <row r="28" spans="1:10" x14ac:dyDescent="0.3">
      <c r="B28" s="24">
        <v>3.2</v>
      </c>
      <c r="C28" t="s">
        <v>76</v>
      </c>
      <c r="D28" t="s">
        <v>85</v>
      </c>
      <c r="E28" s="30"/>
      <c r="F28" s="28"/>
      <c r="G28" s="28"/>
      <c r="H28" s="28"/>
      <c r="I28" s="28"/>
      <c r="J28" s="30"/>
    </row>
    <row r="29" spans="1:10" x14ac:dyDescent="0.3">
      <c r="B29" s="24" t="s">
        <v>9</v>
      </c>
      <c r="C29" t="s">
        <v>77</v>
      </c>
      <c r="D29" t="s">
        <v>86</v>
      </c>
      <c r="E29" s="30"/>
      <c r="F29" s="28"/>
      <c r="G29" s="28"/>
      <c r="H29" s="28"/>
      <c r="I29" s="28"/>
      <c r="J29" s="30"/>
    </row>
    <row r="30" spans="1:10" x14ac:dyDescent="0.3">
      <c r="B30" s="24" t="s">
        <v>10</v>
      </c>
      <c r="C30" t="s">
        <v>78</v>
      </c>
      <c r="D30" t="s">
        <v>87</v>
      </c>
      <c r="E30" s="30"/>
      <c r="F30" s="28"/>
      <c r="G30" s="28"/>
      <c r="H30" s="28"/>
      <c r="I30" s="28"/>
      <c r="J30" s="30"/>
    </row>
    <row r="31" spans="1:10" x14ac:dyDescent="0.3">
      <c r="B31" s="24">
        <v>3.3</v>
      </c>
      <c r="C31" t="s">
        <v>79</v>
      </c>
      <c r="D31" t="s">
        <v>88</v>
      </c>
      <c r="E31" s="30"/>
      <c r="F31" s="28"/>
      <c r="G31" s="28"/>
      <c r="H31" s="28"/>
      <c r="I31" s="28"/>
      <c r="J31" s="30"/>
    </row>
    <row r="32" spans="1:10" x14ac:dyDescent="0.3">
      <c r="B32" s="24" t="s">
        <v>11</v>
      </c>
      <c r="C32" t="s">
        <v>80</v>
      </c>
      <c r="D32" t="s">
        <v>89</v>
      </c>
      <c r="E32" s="30"/>
      <c r="F32" s="28"/>
      <c r="G32" s="28"/>
      <c r="H32" s="28"/>
      <c r="I32" s="28"/>
      <c r="J32" s="30"/>
    </row>
    <row r="33" spans="1:10" x14ac:dyDescent="0.3">
      <c r="B33" s="24" t="s">
        <v>12</v>
      </c>
      <c r="C33" t="s">
        <v>81</v>
      </c>
      <c r="D33" t="s">
        <v>90</v>
      </c>
      <c r="E33" s="30"/>
      <c r="F33" s="28"/>
      <c r="G33" s="28"/>
      <c r="H33" s="28"/>
      <c r="I33" s="28"/>
      <c r="J33" s="30"/>
    </row>
    <row r="34" spans="1:10" x14ac:dyDescent="0.3">
      <c r="A34" s="15" t="s">
        <v>91</v>
      </c>
      <c r="B34" s="24"/>
      <c r="E34" s="30"/>
      <c r="F34" s="28"/>
      <c r="G34" s="28"/>
      <c r="H34" s="28"/>
      <c r="I34" s="28"/>
      <c r="J34" s="30"/>
    </row>
    <row r="35" spans="1:10" x14ac:dyDescent="0.3">
      <c r="B35" s="24">
        <v>4.0999999999999996</v>
      </c>
      <c r="C35" t="s">
        <v>92</v>
      </c>
      <c r="D35" t="s">
        <v>93</v>
      </c>
      <c r="E35" s="30"/>
      <c r="F35" s="28"/>
      <c r="G35" s="28"/>
      <c r="H35" s="28"/>
      <c r="I35" s="28"/>
      <c r="J35" s="30"/>
    </row>
    <row r="36" spans="1:10" x14ac:dyDescent="0.3">
      <c r="A36" s="15" t="s">
        <v>94</v>
      </c>
      <c r="B36" s="24"/>
      <c r="E36" s="30"/>
      <c r="F36" s="28"/>
      <c r="G36" s="28"/>
      <c r="H36" s="28"/>
      <c r="I36" s="28"/>
      <c r="J36" s="30"/>
    </row>
    <row r="37" spans="1:10" x14ac:dyDescent="0.3">
      <c r="B37" s="24">
        <v>5.0999999999999996</v>
      </c>
      <c r="C37" t="s">
        <v>95</v>
      </c>
      <c r="D37" t="s">
        <v>97</v>
      </c>
      <c r="E37" s="30"/>
      <c r="F37" s="28"/>
      <c r="G37" s="28"/>
      <c r="H37" s="28"/>
      <c r="I37" s="28"/>
      <c r="J37" s="30"/>
    </row>
    <row r="38" spans="1:10" x14ac:dyDescent="0.3">
      <c r="B38" s="24">
        <v>5.2</v>
      </c>
      <c r="C38" t="s">
        <v>96</v>
      </c>
      <c r="D38" t="s">
        <v>98</v>
      </c>
      <c r="E38" s="30"/>
      <c r="F38" s="28"/>
      <c r="G38" s="28"/>
      <c r="H38" s="28"/>
      <c r="I38" s="28"/>
      <c r="J38" s="30"/>
    </row>
    <row r="39" spans="1:10" x14ac:dyDescent="0.3">
      <c r="A39" s="15" t="s">
        <v>18</v>
      </c>
      <c r="B39" s="24"/>
      <c r="E39" s="30"/>
      <c r="F39" s="28"/>
      <c r="G39" s="28"/>
      <c r="H39" s="28"/>
      <c r="I39" s="28"/>
      <c r="J39" s="30"/>
    </row>
    <row r="40" spans="1:10" x14ac:dyDescent="0.3">
      <c r="B40" s="24">
        <v>6.1</v>
      </c>
      <c r="C40" t="s">
        <v>19</v>
      </c>
      <c r="D40" t="s">
        <v>184</v>
      </c>
      <c r="E40" s="30"/>
      <c r="F40" s="28"/>
      <c r="G40" s="28"/>
      <c r="H40" s="28"/>
      <c r="I40" s="28"/>
      <c r="J40" s="30"/>
    </row>
    <row r="41" spans="1:10" x14ac:dyDescent="0.3">
      <c r="B41" s="24" t="s">
        <v>27</v>
      </c>
      <c r="C41" t="s">
        <v>20</v>
      </c>
      <c r="D41" t="s">
        <v>185</v>
      </c>
      <c r="E41" s="30"/>
      <c r="F41" s="28"/>
      <c r="G41" s="28"/>
      <c r="H41" s="28"/>
      <c r="I41" s="28"/>
      <c r="J41" s="30"/>
    </row>
  </sheetData>
  <autoFilter ref="A4:L4" xr:uid="{790B7FA8-15DC-43F7-A7DD-AF0F8570FC3D}"/>
  <phoneticPr fontId="16" type="noConversion"/>
  <conditionalFormatting sqref="J5:J41">
    <cfRule type="containsText" dxfId="11" priority="1" operator="containsText" text="Not Started">
      <formula>NOT(ISERROR(SEARCH("Not Started",J5)))</formula>
    </cfRule>
  </conditionalFormatting>
  <conditionalFormatting sqref="J5:J41">
    <cfRule type="containsText" dxfId="10" priority="2" operator="containsText" text="In Progress">
      <formula>NOT(ISERROR(SEARCH("In Progress",J5)))</formula>
    </cfRule>
  </conditionalFormatting>
  <conditionalFormatting sqref="J5:J41">
    <cfRule type="containsText" dxfId="9" priority="3" operator="containsText" text="Completed">
      <formula>NOT(ISERROR(SEARCH("Completed",J5)))</formula>
    </cfRule>
  </conditionalFormatting>
  <conditionalFormatting sqref="J5:J41">
    <cfRule type="containsText" dxfId="8" priority="4" operator="containsText" text="Delayed">
      <formula>NOT(ISERROR(SEARCH("Delayed",J5)))</formula>
    </cfRule>
  </conditionalFormatting>
  <conditionalFormatting sqref="J5:J41">
    <cfRule type="containsText" dxfId="7" priority="5" operator="containsText" text="Pending">
      <formula>NOT(ISERROR(SEARCH("Pending",J5)))</formula>
    </cfRule>
  </conditionalFormatting>
  <conditionalFormatting sqref="J5:J41">
    <cfRule type="containsText" dxfId="6" priority="6" operator="containsText" text="Cancelled">
      <formula>NOT(ISERROR(SEARCH("Cancelled",J5)))</formula>
    </cfRule>
  </conditionalFormatting>
  <dataValidations count="3">
    <dataValidation type="list" allowBlank="1" showInputMessage="1" showErrorMessage="1" sqref="G14" xr:uid="{25D5F308-8402-45DE-8AAF-B64ED1B78968}">
      <formula1>"Not Started, In Progress, Completed, Delayed, Pending, Cancelled"</formula1>
    </dataValidation>
    <dataValidation type="list" allowBlank="1" showInputMessage="1" showErrorMessage="1" errorTitle="Invalid Status" error="Please select a status from the dropdown list." sqref="J5:J41" xr:uid="{FA5BBEDE-BEAB-45E3-9B30-39AB89632BF1}">
      <formula1>"Not Started,In Progress,Completed,Delayed,Pending,Cancelled"</formula1>
    </dataValidation>
    <dataValidation allowBlank="1" showInputMessage="1" showErrorMessage="1" errorTitle="入力エラー" error="リストから選択してください：未着手, 進行中, 完了, 遅延, 保留" promptTitle="ステータス" prompt="ドロップダウンから選択してください" sqref="K1:K1048576" xr:uid="{CD823AE2-6551-40E0-BCC9-9F4863BF04E7}"/>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51CB-BE9D-451D-ACFC-B28DB50339C6}">
  <dimension ref="A1:E101"/>
  <sheetViews>
    <sheetView zoomScale="85" zoomScaleNormal="85" workbookViewId="0">
      <pane ySplit="4" topLeftCell="A5" activePane="bottomLeft" state="frozen"/>
      <selection pane="bottomLeft" activeCell="F1" sqref="F1"/>
    </sheetView>
  </sheetViews>
  <sheetFormatPr defaultRowHeight="14.4" x14ac:dyDescent="0.3"/>
  <cols>
    <col min="1" max="1" width="11.109375" customWidth="1"/>
    <col min="2" max="2" width="59.21875" customWidth="1"/>
    <col min="3" max="3" width="64.77734375" customWidth="1"/>
    <col min="4" max="5" width="13" customWidth="1"/>
  </cols>
  <sheetData>
    <row r="1" spans="1:5" ht="18" x14ac:dyDescent="0.35">
      <c r="A1" s="1" t="str">
        <f>'WBS Input'!A1&amp;" Tree"</f>
        <v>Project WBS Tree</v>
      </c>
      <c r="C1" s="17" t="str">
        <f>'WBS Input'!D1</f>
        <v>Ver.0.0</v>
      </c>
    </row>
    <row r="2" spans="1:5" x14ac:dyDescent="0.3">
      <c r="C2" s="18">
        <f>'WBS Input'!D2</f>
        <v>46125</v>
      </c>
    </row>
    <row r="4" spans="1:5" ht="15" thickBot="1" x14ac:dyDescent="0.35">
      <c r="A4" s="19" t="s">
        <v>13</v>
      </c>
      <c r="B4" s="19" t="s">
        <v>103</v>
      </c>
      <c r="C4" s="19" t="s">
        <v>32</v>
      </c>
      <c r="D4" s="25" t="s">
        <v>33</v>
      </c>
      <c r="E4" s="25" t="s">
        <v>26</v>
      </c>
    </row>
    <row r="5" spans="1:5" x14ac:dyDescent="0.3">
      <c r="A5" s="4" t="str">
        <f>IF(AND('WBS Input'!A5="",'WBS Input'!B5=""),"",IF('WBS Input'!A5&lt;&gt;"","★",'WBS Input'!B5))</f>
        <v>★</v>
      </c>
      <c r="B5" s="3" t="str">
        <f>IF(AND('WBS Input'!A5="",'WBS Input'!B5=""),"",IF('WBS Input'!A5&lt;&gt;"","■ "&amp;'WBS Input'!A5,IF(LEN('WBS Input'!B5)-LEN(SUBSTITUTE('WBS Input'!B5,".",""))&lt;=1,"  ├─ "&amp;'WBS Input'!C5,"  │  ├─ "&amp;'WBS Input'!C5)))</f>
        <v>■ 1. Planning &amp; Current State Analysis</v>
      </c>
      <c r="C5" s="3" t="str">
        <f>IF(AND('WBS Input'!A5="",'WBS Input'!B5=""),"",IF('WBS Input'!A5&lt;&gt;"","",'WBS Input'!D5))</f>
        <v/>
      </c>
      <c r="D5" s="31" t="str">
        <f>IF(AND('WBS Input'!A5="",'WBS Input'!B5=""),"",IF('WBS Input'!A5&lt;&gt;"","",IF('WBS Input'!E5="","",'WBS Input'!E5)))</f>
        <v/>
      </c>
      <c r="E5" s="31" t="str">
        <f>IF(AND('WBS Input'!A5="",'WBS Input'!B5=""),"",IF('WBS Input'!A5&lt;&gt;"","",IF('WBS Input'!J5="","",'WBS Input'!J5)))</f>
        <v/>
      </c>
    </row>
    <row r="6" spans="1:5" x14ac:dyDescent="0.3">
      <c r="A6" s="4">
        <f>IF(AND('WBS Input'!A6="",'WBS Input'!B6=""),"",IF('WBS Input'!A6&lt;&gt;"","★",'WBS Input'!B6))</f>
        <v>1.1000000000000001</v>
      </c>
      <c r="B6" s="3" t="str">
        <f>IF(AND('WBS Input'!A6="",'WBS Input'!B6=""),"",IF('WBS Input'!A6&lt;&gt;"","■ "&amp;'WBS Input'!A6,IF(LEN('WBS Input'!B6)-LEN(SUBSTITUTE('WBS Input'!B6,".",""))&lt;=1,"  ├─ "&amp;'WBS Input'!C6,"  │  ├─ "&amp;'WBS Input'!C6)))</f>
        <v xml:space="preserve">  ├─ Current Operations Inventory</v>
      </c>
      <c r="C6" s="3" t="str">
        <f>IF(AND('WBS Input'!A6="",'WBS Input'!B6=""),"",IF('WBS Input'!A6&lt;&gt;"","",'WBS Input'!D6))</f>
        <v>Define scope of target business operations</v>
      </c>
      <c r="D6" s="31" t="str">
        <f>IF(AND('WBS Input'!A6="",'WBS Input'!B6=""),"",IF('WBS Input'!A6&lt;&gt;"","",IF('WBS Input'!E6="","",'WBS Input'!E6)))</f>
        <v>Alice</v>
      </c>
      <c r="E6" s="31" t="str">
        <f>IF(AND('WBS Input'!A6="",'WBS Input'!B6=""),"",IF('WBS Input'!A6&lt;&gt;"","",IF('WBS Input'!J6="","",'WBS Input'!J6)))</f>
        <v>In Progress</v>
      </c>
    </row>
    <row r="7" spans="1:5" x14ac:dyDescent="0.3">
      <c r="A7" s="4" t="str">
        <f>IF(AND('WBS Input'!A7="",'WBS Input'!B7=""),"",IF('WBS Input'!A7&lt;&gt;"","★",'WBS Input'!B7))</f>
        <v>1.1.1</v>
      </c>
      <c r="B7" s="3" t="str">
        <f>IF(AND('WBS Input'!A7="",'WBS Input'!B7=""),"",IF('WBS Input'!A7&lt;&gt;"","■ "&amp;'WBS Input'!A7,IF(LEN('WBS Input'!B7)-LEN(SUBSTITUTE('WBS Input'!B7,".",""))&lt;=1,"  ├─ "&amp;'WBS Input'!C7,"  │  ├─ "&amp;'WBS Input'!C7)))</f>
        <v xml:space="preserve">  │  ├─ Revise Current Business Process Flowcharts</v>
      </c>
      <c r="C7" s="3" t="str">
        <f>IF(AND('WBS Input'!A7="",'WBS Input'!B7=""),"",IF('WBS Input'!A7&lt;&gt;"","",'WBS Input'!D7))</f>
        <v>Update and visualize payroll, social insurance, and attendance processes</v>
      </c>
      <c r="D7" s="31" t="str">
        <f>IF(AND('WBS Input'!A7="",'WBS Input'!B7=""),"",IF('WBS Input'!A7&lt;&gt;"","",IF('WBS Input'!E7="","",'WBS Input'!E7)))</f>
        <v>Alice</v>
      </c>
      <c r="E7" s="31" t="str">
        <f>IF(AND('WBS Input'!A7="",'WBS Input'!B7=""),"",IF('WBS Input'!A7&lt;&gt;"","",IF('WBS Input'!J7="","",'WBS Input'!J7)))</f>
        <v>In Progress</v>
      </c>
    </row>
    <row r="8" spans="1:5" x14ac:dyDescent="0.3">
      <c r="A8" s="4" t="str">
        <f>IF(AND('WBS Input'!A8="",'WBS Input'!B8=""),"",IF('WBS Input'!A8&lt;&gt;"","★",'WBS Input'!B8))</f>
        <v>1.1.2</v>
      </c>
      <c r="B8" s="3" t="str">
        <f>IF(AND('WBS Input'!A8="",'WBS Input'!B8=""),"",IF('WBS Input'!A8&lt;&gt;"","■ "&amp;'WBS Input'!A8,IF(LEN('WBS Input'!B8)-LEN(SUBSTITUTE('WBS Input'!B8,".",""))&lt;=1,"  ├─ "&amp;'WBS Input'!C8,"  │  ├─ "&amp;'WBS Input'!C8)))</f>
        <v xml:space="preserve">  │  ├─ Review Current SLA &amp; Performance Evaluation</v>
      </c>
      <c r="C8" s="3" t="str">
        <f>IF(AND('WBS Input'!A8="",'WBS Input'!B8=""),"",IF('WBS Input'!A8&lt;&gt;"","",'WBS Input'!D8))</f>
        <v>Identify current vendor performance gaps and unmet items</v>
      </c>
      <c r="D8" s="31" t="str">
        <f>IF(AND('WBS Input'!A8="",'WBS Input'!B8=""),"",IF('WBS Input'!A8&lt;&gt;"","",IF('WBS Input'!E8="","",'WBS Input'!E8)))</f>
        <v>Bob</v>
      </c>
      <c r="E8" s="31" t="str">
        <f>IF(AND('WBS Input'!A8="",'WBS Input'!B8=""),"",IF('WBS Input'!A8&lt;&gt;"","",IF('WBS Input'!J8="","",'WBS Input'!J8)))</f>
        <v>Not Started</v>
      </c>
    </row>
    <row r="9" spans="1:5" x14ac:dyDescent="0.3">
      <c r="A9" s="4" t="str">
        <f>IF(AND('WBS Input'!A9="",'WBS Input'!B9=""),"",IF('WBS Input'!A9&lt;&gt;"","★",'WBS Input'!B9))</f>
        <v>1.1.3</v>
      </c>
      <c r="B9" s="3" t="str">
        <f>IF(AND('WBS Input'!A9="",'WBS Input'!B9=""),"",IF('WBS Input'!A9&lt;&gt;"","■ "&amp;'WBS Input'!A9,IF(LEN('WBS Input'!B9)-LEN(SUBSTITUTE('WBS Input'!B9,".",""))&lt;=1,"  ├─ "&amp;'WBS Input'!C9,"  │  ├─ "&amp;'WBS Input'!C9)))</f>
        <v xml:space="preserve">  │  ├─ Create RACI Responsibility Matrix</v>
      </c>
      <c r="C9" s="3" t="str">
        <f>IF(AND('WBS Input'!A9="",'WBS Input'!B9=""),"",IF('WBS Input'!A9&lt;&gt;"","",'WBS Input'!D9))</f>
        <v>Clarify responsibilities among internal HR, IT, and current vendor</v>
      </c>
      <c r="D9" s="31" t="str">
        <f>IF(AND('WBS Input'!A9="",'WBS Input'!B9=""),"",IF('WBS Input'!A9&lt;&gt;"","",IF('WBS Input'!E9="","",'WBS Input'!E9)))</f>
        <v/>
      </c>
      <c r="E9" s="31" t="str">
        <f>IF(AND('WBS Input'!A9="",'WBS Input'!B9=""),"",IF('WBS Input'!A9&lt;&gt;"","",IF('WBS Input'!J9="","",'WBS Input'!J9)))</f>
        <v/>
      </c>
    </row>
    <row r="10" spans="1:5" x14ac:dyDescent="0.3">
      <c r="A10" s="4" t="str">
        <f>IF(AND('WBS Input'!A10="",'WBS Input'!B10=""),"",IF('WBS Input'!A10&lt;&gt;"","★",'WBS Input'!B10))</f>
        <v>1.1.4</v>
      </c>
      <c r="B10" s="3" t="str">
        <f>IF(AND('WBS Input'!A10="",'WBS Input'!B10=""),"",IF('WBS Input'!A10&lt;&gt;"","■ "&amp;'WBS Input'!A10,IF(LEN('WBS Input'!B10)-LEN(SUBSTITUTE('WBS Input'!B10,".",""))&lt;=1,"  ├─ "&amp;'WBS Input'!C10,"  │  ├─ "&amp;'WBS Input'!C10)))</f>
        <v xml:space="preserve">  │  ├─ Identify Exception &amp; Non-Standard Processes</v>
      </c>
      <c r="C10" s="3" t="str">
        <f>IF(AND('WBS Input'!A10="",'WBS Input'!B10=""),"",IF('WBS Input'!A10&lt;&gt;"","",'WBS Input'!D10))</f>
        <v>Identify undocumented special handling procedures</v>
      </c>
      <c r="D10" s="31" t="str">
        <f>IF(AND('WBS Input'!A10="",'WBS Input'!B10=""),"",IF('WBS Input'!A10&lt;&gt;"","",IF('WBS Input'!E10="","",'WBS Input'!E10)))</f>
        <v/>
      </c>
      <c r="E10" s="31" t="str">
        <f>IF(AND('WBS Input'!A10="",'WBS Input'!B10=""),"",IF('WBS Input'!A10&lt;&gt;"","",IF('WBS Input'!J10="","",'WBS Input'!J10)))</f>
        <v/>
      </c>
    </row>
    <row r="11" spans="1:5" x14ac:dyDescent="0.3">
      <c r="A11" s="4" t="str">
        <f>IF(AND('WBS Input'!A11="",'WBS Input'!B11=""),"",IF('WBS Input'!A11&lt;&gt;"","★",'WBS Input'!B11))</f>
        <v>1.1.5</v>
      </c>
      <c r="B11" s="3" t="str">
        <f>IF(AND('WBS Input'!A11="",'WBS Input'!B11=""),"",IF('WBS Input'!A11&lt;&gt;"","■ "&amp;'WBS Input'!A11,IF(LEN('WBS Input'!B11)-LEN(SUBSTITUTE('WBS Input'!B11,".",""))&lt;=1,"  ├─ "&amp;'WBS Input'!C11,"  │  ├─ "&amp;'WBS Input'!C11)))</f>
        <v xml:space="preserve">  │  ├─ Review Social Insurance &amp; Labor Insurance Operations</v>
      </c>
      <c r="C11" s="3" t="str">
        <f>IF(AND('WBS Input'!A11="",'WBS Input'!B11=""),"",IF('WBS Input'!A11&lt;&gt;"","",'WBS Input'!D11))</f>
        <v>Map health insurance and pension enrollment/disenrollment, standard remuneration, and monthly changes</v>
      </c>
      <c r="D11" s="31" t="str">
        <f>IF(AND('WBS Input'!A11="",'WBS Input'!B11=""),"",IF('WBS Input'!A11&lt;&gt;"","",IF('WBS Input'!E11="","",'WBS Input'!E11)))</f>
        <v/>
      </c>
      <c r="E11" s="31" t="str">
        <f>IF(AND('WBS Input'!A11="",'WBS Input'!B11=""),"",IF('WBS Input'!A11&lt;&gt;"","",IF('WBS Input'!J11="","",'WBS Input'!J11)))</f>
        <v/>
      </c>
    </row>
    <row r="12" spans="1:5" x14ac:dyDescent="0.3">
      <c r="A12" s="4" t="str">
        <f>IF(AND('WBS Input'!A12="",'WBS Input'!B12=""),"",IF('WBS Input'!A12&lt;&gt;"","★",'WBS Input'!B12))</f>
        <v>1.1.6</v>
      </c>
      <c r="B12" s="3" t="str">
        <f>IF(AND('WBS Input'!A12="",'WBS Input'!B12=""),"",IF('WBS Input'!A12&lt;&gt;"","■ "&amp;'WBS Input'!A12,IF(LEN('WBS Input'!B12)-LEN(SUBSTITUTE('WBS Input'!B12,".",""))&lt;=1,"  ├─ "&amp;'WBS Input'!C12,"  │  ├─ "&amp;'WBS Input'!C12)))</f>
        <v xml:space="preserve">  │  ├─ Review Resignation &amp; Leave of Absence Procedures</v>
      </c>
      <c r="C12" s="3" t="str">
        <f>IF(AND('WBS Input'!A12="",'WBS Input'!B12=""),"",IF('WBS Input'!A12&lt;&gt;"","",'WBS Input'!D12))</f>
        <v>Visualize severance pay calculations, separation certificates, parental/sick leave benefits</v>
      </c>
      <c r="D12" s="31" t="str">
        <f>IF(AND('WBS Input'!A12="",'WBS Input'!B12=""),"",IF('WBS Input'!A12&lt;&gt;"","",IF('WBS Input'!E12="","",'WBS Input'!E12)))</f>
        <v/>
      </c>
      <c r="E12" s="31" t="str">
        <f>IF(AND('WBS Input'!A12="",'WBS Input'!B12=""),"",IF('WBS Input'!A12&lt;&gt;"","",IF('WBS Input'!J12="","",'WBS Input'!J12)))</f>
        <v/>
      </c>
    </row>
    <row r="13" spans="1:5" x14ac:dyDescent="0.3">
      <c r="A13" s="4" t="str">
        <f>IF(AND('WBS Input'!A13="",'WBS Input'!B13=""),"",IF('WBS Input'!A13&lt;&gt;"","★",'WBS Input'!B13))</f>
        <v>1.1.7</v>
      </c>
      <c r="B13" s="3" t="str">
        <f>IF(AND('WBS Input'!A13="",'WBS Input'!B13=""),"",IF('WBS Input'!A13&lt;&gt;"","■ "&amp;'WBS Input'!A13,IF(LEN('WBS Input'!B13)-LEN(SUBSTITUTE('WBS Input'!B13,".",""))&lt;=1,"  ├─ "&amp;'WBS Input'!C13,"  │  ├─ "&amp;'WBS Input'!C13)))</f>
        <v xml:space="preserve">  │  ├─ Review Benefits-Related Administrative Tasks</v>
      </c>
      <c r="C13" s="3" t="str">
        <f>IF(AND('WBS Input'!A13="",'WBS Input'!B13=""),"",IF('WBS Input'!A13&lt;&gt;"","",'WBS Input'!D13))</f>
        <v>Organize allowances, ESOP, savings plans, health check booking coordination, etc.</v>
      </c>
      <c r="D13" s="31" t="str">
        <f>IF(AND('WBS Input'!A13="",'WBS Input'!B13=""),"",IF('WBS Input'!A13&lt;&gt;"","",IF('WBS Input'!E13="","",'WBS Input'!E13)))</f>
        <v/>
      </c>
      <c r="E13" s="31" t="str">
        <f>IF(AND('WBS Input'!A13="",'WBS Input'!B13=""),"",IF('WBS Input'!A13&lt;&gt;"","",IF('WBS Input'!J13="","",'WBS Input'!J13)))</f>
        <v/>
      </c>
    </row>
    <row r="14" spans="1:5" x14ac:dyDescent="0.3">
      <c r="A14" s="4" t="str">
        <f>IF(AND('WBS Input'!A14="",'WBS Input'!B14=""),"",IF('WBS Input'!A14&lt;&gt;"","★",'WBS Input'!B14))</f>
        <v>1.1.8</v>
      </c>
      <c r="B14" s="3" t="str">
        <f>IF(AND('WBS Input'!A14="",'WBS Input'!B14=""),"",IF('WBS Input'!A14&lt;&gt;"","■ "&amp;'WBS Input'!A14,IF(LEN('WBS Input'!B14)-LEN(SUBSTITUTE('WBS Input'!B14,".",""))&lt;=1,"  ├─ "&amp;'WBS Input'!C14,"  │  ├─ "&amp;'WBS Input'!C14)))</f>
        <v xml:space="preserve">  │  ├─ Review Year-End Tax Adjustment Processes</v>
      </c>
      <c r="C14" s="3" t="str">
        <f>IF(AND('WBS Input'!A14="",'WBS Input'!B14=""),"",IF('WBS Input'!A14&lt;&gt;"","",'WBS Input'!D14))</f>
        <v>Identify year-end adjustment schedule, filing systems, and e-filing usage</v>
      </c>
      <c r="D14" s="31" t="str">
        <f>IF(AND('WBS Input'!A14="",'WBS Input'!B14=""),"",IF('WBS Input'!A14&lt;&gt;"","",IF('WBS Input'!E14="","",'WBS Input'!E14)))</f>
        <v/>
      </c>
      <c r="E14" s="31" t="str">
        <f>IF(AND('WBS Input'!A14="",'WBS Input'!B14=""),"",IF('WBS Input'!A14&lt;&gt;"","",IF('WBS Input'!J14="","",'WBS Input'!J14)))</f>
        <v/>
      </c>
    </row>
    <row r="15" spans="1:5" x14ac:dyDescent="0.3">
      <c r="A15" s="4" t="str">
        <f>IF(AND('WBS Input'!A15="",'WBS Input'!B15=""),"",IF('WBS Input'!A15&lt;&gt;"","★",'WBS Input'!B15))</f>
        <v>1.1.9</v>
      </c>
      <c r="B15" s="3" t="str">
        <f>IF(AND('WBS Input'!A15="",'WBS Input'!B15=""),"",IF('WBS Input'!A15&lt;&gt;"","■ "&amp;'WBS Input'!A15,IF(LEN('WBS Input'!B15)-LEN(SUBSTITUTE('WBS Input'!B15,".",""))&lt;=1,"  ├─ "&amp;'WBS Input'!C15,"  │  ├─ "&amp;'WBS Input'!C15)))</f>
        <v xml:space="preserve">  │  ├─ abcdef</v>
      </c>
      <c r="C15" s="3" t="str">
        <f>IF(AND('WBS Input'!A15="",'WBS Input'!B15=""),"",IF('WBS Input'!A15&lt;&gt;"","",'WBS Input'!D15))</f>
        <v>aaaaaa</v>
      </c>
      <c r="D15" s="31" t="str">
        <f>IF(AND('WBS Input'!A15="",'WBS Input'!B15=""),"",IF('WBS Input'!A15&lt;&gt;"","",IF('WBS Input'!E15="","",'WBS Input'!E15)))</f>
        <v/>
      </c>
      <c r="E15" s="31" t="str">
        <f>IF(AND('WBS Input'!A15="",'WBS Input'!B15=""),"",IF('WBS Input'!A15&lt;&gt;"","",IF('WBS Input'!J15="","",'WBS Input'!J15)))</f>
        <v/>
      </c>
    </row>
    <row r="16" spans="1:5" x14ac:dyDescent="0.3">
      <c r="A16" s="4" t="str">
        <f>IF(AND('WBS Input'!A16="",'WBS Input'!B16=""),"",IF('WBS Input'!A16&lt;&gt;"","★",'WBS Input'!B16))</f>
        <v>1.1.10</v>
      </c>
      <c r="B16" s="3" t="str">
        <f>IF(AND('WBS Input'!A16="",'WBS Input'!B16=""),"",IF('WBS Input'!A16&lt;&gt;"","■ "&amp;'WBS Input'!A16,IF(LEN('WBS Input'!B16)-LEN(SUBSTITUTE('WBS Input'!B16,".",""))&lt;=1,"  ├─ "&amp;'WBS Input'!C16,"  │  ├─ "&amp;'WBS Input'!C16)))</f>
        <v xml:space="preserve">  │  ├─ ghijk</v>
      </c>
      <c r="C16" s="3" t="str">
        <f>IF(AND('WBS Input'!A16="",'WBS Input'!B16=""),"",IF('WBS Input'!A16&lt;&gt;"","",'WBS Input'!D16))</f>
        <v>bbbbbb</v>
      </c>
      <c r="D16" s="31" t="str">
        <f>IF(AND('WBS Input'!A16="",'WBS Input'!B16=""),"",IF('WBS Input'!A16&lt;&gt;"","",IF('WBS Input'!E16="","",'WBS Input'!E16)))</f>
        <v/>
      </c>
      <c r="E16" s="31" t="str">
        <f>IF(AND('WBS Input'!A16="",'WBS Input'!B16=""),"",IF('WBS Input'!A16&lt;&gt;"","",IF('WBS Input'!J16="","",'WBS Input'!J16)))</f>
        <v/>
      </c>
    </row>
    <row r="17" spans="1:5" x14ac:dyDescent="0.3">
      <c r="A17" s="4">
        <f>IF(AND('WBS Input'!A17="",'WBS Input'!B17=""),"",IF('WBS Input'!A17&lt;&gt;"","★",'WBS Input'!B17))</f>
        <v>1.3</v>
      </c>
      <c r="B17" s="3" t="str">
        <f>IF(AND('WBS Input'!A17="",'WBS Input'!B17=""),"",IF('WBS Input'!A17&lt;&gt;"","■ "&amp;'WBS Input'!A17,IF(LEN('WBS Input'!B17)-LEN(SUBSTITUTE('WBS Input'!B17,".",""))&lt;=1,"  ├─ "&amp;'WBS Input'!C17,"  │  ├─ "&amp;'WBS Input'!C17)))</f>
        <v xml:space="preserve">  ├─ Budget &amp; Schedule Planning</v>
      </c>
      <c r="C17" s="3" t="str">
        <f>IF(AND('WBS Input'!A17="",'WBS Input'!B17=""),"",IF('WBS Input'!A17&lt;&gt;"","",'WBS Input'!D17))</f>
        <v>Obtain approval for project execution plan</v>
      </c>
      <c r="D17" s="31" t="str">
        <f>IF(AND('WBS Input'!A17="",'WBS Input'!B17=""),"",IF('WBS Input'!A17&lt;&gt;"","",IF('WBS Input'!E17="","",'WBS Input'!E17)))</f>
        <v/>
      </c>
      <c r="E17" s="31" t="str">
        <f>IF(AND('WBS Input'!A17="",'WBS Input'!B17=""),"",IF('WBS Input'!A17&lt;&gt;"","",IF('WBS Input'!J17="","",'WBS Input'!J17)))</f>
        <v/>
      </c>
    </row>
    <row r="18" spans="1:5" x14ac:dyDescent="0.3">
      <c r="A18" s="4" t="str">
        <f>IF(AND('WBS Input'!A18="",'WBS Input'!B18=""),"",IF('WBS Input'!A18&lt;&gt;"","★",'WBS Input'!B18))</f>
        <v>1.3.1</v>
      </c>
      <c r="B18" s="3" t="str">
        <f>IF(AND('WBS Input'!A18="",'WBS Input'!B18=""),"",IF('WBS Input'!A18&lt;&gt;"","■ "&amp;'WBS Input'!A18,IF(LEN('WBS Input'!B18)-LEN(SUBSTITUTE('WBS Input'!B18,".",""))&lt;=1,"  ├─ "&amp;'WBS Input'!C18,"  │  ├─ "&amp;'WBS Input'!C18)))</f>
        <v xml:space="preserve">  │  ├─ Estimate Transition Costs</v>
      </c>
      <c r="C18" s="3" t="str">
        <f>IF(AND('WBS Input'!A18="",'WBS Input'!B18=""),"",IF('WBS Input'!A18&lt;&gt;"","",'WBS Input'!D18))</f>
        <v>Compare initial implementation costs vs. ongoing operating costs</v>
      </c>
      <c r="D18" s="31" t="str">
        <f>IF(AND('WBS Input'!A18="",'WBS Input'!B18=""),"",IF('WBS Input'!A18&lt;&gt;"","",IF('WBS Input'!E18="","",'WBS Input'!E18)))</f>
        <v/>
      </c>
      <c r="E18" s="31" t="str">
        <f>IF(AND('WBS Input'!A18="",'WBS Input'!B18=""),"",IF('WBS Input'!A18&lt;&gt;"","",IF('WBS Input'!J18="","",'WBS Input'!J18)))</f>
        <v/>
      </c>
    </row>
    <row r="19" spans="1:5" x14ac:dyDescent="0.3">
      <c r="A19" s="4" t="str">
        <f>IF(AND('WBS Input'!A19="",'WBS Input'!B19=""),"",IF('WBS Input'!A19&lt;&gt;"","★",'WBS Input'!B19))</f>
        <v>1.3.2</v>
      </c>
      <c r="B19" s="3" t="str">
        <f>IF(AND('WBS Input'!A19="",'WBS Input'!B19=""),"",IF('WBS Input'!A19&lt;&gt;"","■ "&amp;'WBS Input'!A19,IF(LEN('WBS Input'!B19)-LEN(SUBSTITUTE('WBS Input'!B19,".",""))&lt;=1,"  ├─ "&amp;'WBS Input'!C19,"  │  ├─ "&amp;'WBS Input'!C19)))</f>
        <v xml:space="preserve">  │  ├─ Create Project Roadmap</v>
      </c>
      <c r="C19" s="3" t="str">
        <f>IF(AND('WBS Input'!A19="",'WBS Input'!B19=""),"",IF('WBS Input'!A19&lt;&gt;"","",'WBS Input'!D19))</f>
        <v>Create timeline from RFP issuance through go-live</v>
      </c>
      <c r="D19" s="31" t="str">
        <f>IF(AND('WBS Input'!A19="",'WBS Input'!B19=""),"",IF('WBS Input'!A19&lt;&gt;"","",IF('WBS Input'!E19="","",'WBS Input'!E19)))</f>
        <v/>
      </c>
      <c r="E19" s="31" t="str">
        <f>IF(AND('WBS Input'!A19="",'WBS Input'!B19=""),"",IF('WBS Input'!A19&lt;&gt;"","",IF('WBS Input'!J19="","",'WBS Input'!J19)))</f>
        <v/>
      </c>
    </row>
    <row r="20" spans="1:5" x14ac:dyDescent="0.3">
      <c r="A20" s="4" t="str">
        <f>IF(AND('WBS Input'!A20="",'WBS Input'!B20=""),"",IF('WBS Input'!A20&lt;&gt;"","★",'WBS Input'!B20))</f>
        <v>1.3.3</v>
      </c>
      <c r="B20" s="3" t="str">
        <f>IF(AND('WBS Input'!A20="",'WBS Input'!B20=""),"",IF('WBS Input'!A20&lt;&gt;"","■ "&amp;'WBS Input'!A20,IF(LEN('WBS Input'!B20)-LEN(SUBSTITUTE('WBS Input'!B20,".",""))&lt;=1,"  ├─ "&amp;'WBS Input'!C20,"  │  ├─ "&amp;'WBS Input'!C20)))</f>
        <v xml:space="preserve">  │  ├─ Develop Resource Plan</v>
      </c>
      <c r="C20" s="3" t="str">
        <f>IF(AND('WBS Input'!A20="",'WBS Input'!B20=""),"",IF('WBS Input'!A20&lt;&gt;"","",'WBS Input'!D20))</f>
        <v>Secure internal team capacity and establish project structure</v>
      </c>
      <c r="D20" s="31" t="str">
        <f>IF(AND('WBS Input'!A20="",'WBS Input'!B20=""),"",IF('WBS Input'!A20&lt;&gt;"","",IF('WBS Input'!E20="","",'WBS Input'!E20)))</f>
        <v/>
      </c>
      <c r="E20" s="31" t="str">
        <f>IF(AND('WBS Input'!A20="",'WBS Input'!B20=""),"",IF('WBS Input'!A20&lt;&gt;"","",IF('WBS Input'!J20="","",'WBS Input'!J20)))</f>
        <v/>
      </c>
    </row>
    <row r="21" spans="1:5" x14ac:dyDescent="0.3">
      <c r="A21" s="4" t="str">
        <f>IF(AND('WBS Input'!A21="",'WBS Input'!B21=""),"",IF('WBS Input'!A21&lt;&gt;"","★",'WBS Input'!B21))</f>
        <v>★</v>
      </c>
      <c r="B21" s="3" t="str">
        <f>IF(AND('WBS Input'!A21="",'WBS Input'!B21=""),"",IF('WBS Input'!A21&lt;&gt;"","■ "&amp;'WBS Input'!A21,IF(LEN('WBS Input'!B21)-LEN(SUBSTITUTE('WBS Input'!B21,".",""))&lt;=1,"  ├─ "&amp;'WBS Input'!C21,"  │  ├─ "&amp;'WBS Input'!C21)))</f>
        <v>■ 2. Vendor Selection</v>
      </c>
      <c r="C21" s="3" t="str">
        <f>IF(AND('WBS Input'!A21="",'WBS Input'!B21=""),"",IF('WBS Input'!A21&lt;&gt;"","",'WBS Input'!D21))</f>
        <v/>
      </c>
      <c r="D21" s="31" t="str">
        <f>IF(AND('WBS Input'!A21="",'WBS Input'!B21=""),"",IF('WBS Input'!A21&lt;&gt;"","",IF('WBS Input'!E21="","",'WBS Input'!E21)))</f>
        <v/>
      </c>
      <c r="E21" s="31" t="str">
        <f>IF(AND('WBS Input'!A21="",'WBS Input'!B21=""),"",IF('WBS Input'!A21&lt;&gt;"","",IF('WBS Input'!J21="","",'WBS Input'!J21)))</f>
        <v/>
      </c>
    </row>
    <row r="22" spans="1:5" x14ac:dyDescent="0.3">
      <c r="A22" s="4">
        <f>IF(AND('WBS Input'!A22="",'WBS Input'!B22=""),"",IF('WBS Input'!A22&lt;&gt;"","★",'WBS Input'!B22))</f>
        <v>2.1</v>
      </c>
      <c r="B22" s="3" t="str">
        <f>IF(AND('WBS Input'!A22="",'WBS Input'!B22=""),"",IF('WBS Input'!A22&lt;&gt;"","■ "&amp;'WBS Input'!A22,IF(LEN('WBS Input'!B22)-LEN(SUBSTITUTE('WBS Input'!B22,".",""))&lt;=1,"  ├─ "&amp;'WBS Input'!C22,"  │  ├─ "&amp;'WBS Input'!C22)))</f>
        <v xml:space="preserve">  ├─ Prepare &amp; Send RFI/RFP</v>
      </c>
      <c r="C22" s="3" t="str">
        <f>IF(AND('WBS Input'!A22="",'WBS Input'!B22=""),"",IF('WBS Input'!A22&lt;&gt;"","",'WBS Input'!D22))</f>
        <v>Distribute RFP and manage Q&amp;A process</v>
      </c>
      <c r="D22" s="31" t="str">
        <f>IF(AND('WBS Input'!A22="",'WBS Input'!B22=""),"",IF('WBS Input'!A22&lt;&gt;"","",IF('WBS Input'!E22="","",'WBS Input'!E22)))</f>
        <v/>
      </c>
      <c r="E22" s="31" t="str">
        <f>IF(AND('WBS Input'!A22="",'WBS Input'!B22=""),"",IF('WBS Input'!A22&lt;&gt;"","",IF('WBS Input'!J22="","",'WBS Input'!J22)))</f>
        <v/>
      </c>
    </row>
    <row r="23" spans="1:5" x14ac:dyDescent="0.3">
      <c r="A23" s="4">
        <f>IF(AND('WBS Input'!A23="",'WBS Input'!B23=""),"",IF('WBS Input'!A23&lt;&gt;"","★",'WBS Input'!B23))</f>
        <v>2.2000000000000002</v>
      </c>
      <c r="B23" s="3" t="str">
        <f>IF(AND('WBS Input'!A23="",'WBS Input'!B23=""),"",IF('WBS Input'!A23&lt;&gt;"","■ "&amp;'WBS Input'!A23,IF(LEN('WBS Input'!B23)-LEN(SUBSTITUTE('WBS Input'!B23,".",""))&lt;=1,"  ├─ "&amp;'WBS Input'!C23,"  │  ├─ "&amp;'WBS Input'!C23)))</f>
        <v xml:space="preserve">  ├─ Evaluate Proposals &amp; Select Vendor</v>
      </c>
      <c r="C23" s="3" t="str">
        <f>IF(AND('WBS Input'!A23="",'WBS Input'!B23=""),"",IF('WBS Input'!A23&lt;&gt;"","",'WBS Input'!D23))</f>
        <v>Conduct presentations and score-based selection</v>
      </c>
      <c r="D23" s="31" t="str">
        <f>IF(AND('WBS Input'!A23="",'WBS Input'!B23=""),"",IF('WBS Input'!A23&lt;&gt;"","",IF('WBS Input'!E23="","",'WBS Input'!E23)))</f>
        <v/>
      </c>
      <c r="E23" s="31" t="str">
        <f>IF(AND('WBS Input'!A23="",'WBS Input'!B23=""),"",IF('WBS Input'!A23&lt;&gt;"","",IF('WBS Input'!J23="","",'WBS Input'!J23)))</f>
        <v/>
      </c>
    </row>
    <row r="24" spans="1:5" x14ac:dyDescent="0.3">
      <c r="A24" s="4" t="str">
        <f>IF(AND('WBS Input'!A24="",'WBS Input'!B24=""),"",IF('WBS Input'!A24&lt;&gt;"","★",'WBS Input'!B24))</f>
        <v>★</v>
      </c>
      <c r="B24" s="3" t="str">
        <f>IF(AND('WBS Input'!A24="",'WBS Input'!B24=""),"",IF('WBS Input'!A24&lt;&gt;"","■ "&amp;'WBS Input'!A24,IF(LEN('WBS Input'!B24)-LEN(SUBSTITUTE('WBS Input'!B24,".",""))&lt;=1,"  ├─ "&amp;'WBS Input'!C24,"  │  ├─ "&amp;'WBS Input'!C24)))</f>
        <v>■ 3. Transition Preparation (Design)</v>
      </c>
      <c r="C24" s="3" t="str">
        <f>IF(AND('WBS Input'!A24="",'WBS Input'!B24=""),"",IF('WBS Input'!A24&lt;&gt;"","",'WBS Input'!D24))</f>
        <v/>
      </c>
      <c r="D24" s="31" t="str">
        <f>IF(AND('WBS Input'!A24="",'WBS Input'!B24=""),"",IF('WBS Input'!A24&lt;&gt;"","",IF('WBS Input'!E24="","",'WBS Input'!E24)))</f>
        <v/>
      </c>
      <c r="E24" s="31" t="str">
        <f>IF(AND('WBS Input'!A24="",'WBS Input'!B24=""),"",IF('WBS Input'!A24&lt;&gt;"","",IF('WBS Input'!J24="","",'WBS Input'!J24)))</f>
        <v/>
      </c>
    </row>
    <row r="25" spans="1:5" x14ac:dyDescent="0.3">
      <c r="A25" s="4">
        <f>IF(AND('WBS Input'!A25="",'WBS Input'!B25=""),"",IF('WBS Input'!A25&lt;&gt;"","★",'WBS Input'!B25))</f>
        <v>3.1</v>
      </c>
      <c r="B25" s="3" t="str">
        <f>IF(AND('WBS Input'!A25="",'WBS Input'!B25=""),"",IF('WBS Input'!A25&lt;&gt;"","■ "&amp;'WBS Input'!A25,IF(LEN('WBS Input'!B25)-LEN(SUBSTITUTE('WBS Input'!B25,".",""))&lt;=1,"  ├─ "&amp;'WBS Input'!C25,"  │  ├─ "&amp;'WBS Input'!C25)))</f>
        <v xml:space="preserve">  ├─ Design To-Be Business Processes</v>
      </c>
      <c r="C25" s="3" t="str">
        <f>IF(AND('WBS Input'!A25="",'WBS Input'!B25=""),"",IF('WBS Input'!A25&lt;&gt;"","",'WBS Input'!D25))</f>
        <v>Optimize operations under new vendor structure</v>
      </c>
      <c r="D25" s="31" t="str">
        <f>IF(AND('WBS Input'!A25="",'WBS Input'!B25=""),"",IF('WBS Input'!A25&lt;&gt;"","",IF('WBS Input'!E25="","",'WBS Input'!E25)))</f>
        <v/>
      </c>
      <c r="E25" s="31" t="str">
        <f>IF(AND('WBS Input'!A25="",'WBS Input'!B25=""),"",IF('WBS Input'!A25&lt;&gt;"","",IF('WBS Input'!J25="","",'WBS Input'!J25)))</f>
        <v/>
      </c>
    </row>
    <row r="26" spans="1:5" x14ac:dyDescent="0.3">
      <c r="A26" s="4" t="str">
        <f>IF(AND('WBS Input'!A26="",'WBS Input'!B26=""),"",IF('WBS Input'!A26&lt;&gt;"","★",'WBS Input'!B26))</f>
        <v>3.1.1</v>
      </c>
      <c r="B26" s="3" t="str">
        <f>IF(AND('WBS Input'!A26="",'WBS Input'!B26=""),"",IF('WBS Input'!A26&lt;&gt;"","■ "&amp;'WBS Input'!A26,IF(LEN('WBS Input'!B26)-LEN(SUBSTITUTE('WBS Input'!B26,".",""))&lt;=1,"  ├─ "&amp;'WBS Input'!C26,"  │  ├─ "&amp;'WBS Input'!C26)))</f>
        <v xml:space="preserve">  │  ├─ Gap Analysis of Business Processes</v>
      </c>
      <c r="C26" s="3" t="str">
        <f>IF(AND('WBS Input'!A26="",'WBS Input'!B26=""),"",IF('WBS Input'!A26&lt;&gt;"","",'WBS Input'!D26))</f>
        <v>Identify gaps between current and new vendor standard capabilities</v>
      </c>
      <c r="D26" s="31" t="str">
        <f>IF(AND('WBS Input'!A26="",'WBS Input'!B26=""),"",IF('WBS Input'!A26&lt;&gt;"","",IF('WBS Input'!E26="","",'WBS Input'!E26)))</f>
        <v/>
      </c>
      <c r="E26" s="31" t="str">
        <f>IF(AND('WBS Input'!A26="",'WBS Input'!B26=""),"",IF('WBS Input'!A26&lt;&gt;"","",IF('WBS Input'!J26="","",'WBS Input'!J26)))</f>
        <v/>
      </c>
    </row>
    <row r="27" spans="1:5" x14ac:dyDescent="0.3">
      <c r="A27" s="4" t="str">
        <f>IF(AND('WBS Input'!A27="",'WBS Input'!B27=""),"",IF('WBS Input'!A27&lt;&gt;"","★",'WBS Input'!B27))</f>
        <v>3.1.2</v>
      </c>
      <c r="B27" s="3" t="str">
        <f>IF(AND('WBS Input'!A27="",'WBS Input'!B27=""),"",IF('WBS Input'!A27&lt;&gt;"","■ "&amp;'WBS Input'!A27,IF(LEN('WBS Input'!B27)-LEN(SUBSTITUTE('WBS Input'!B27,".",""))&lt;=1,"  ├─ "&amp;'WBS Input'!C27,"  │  ├─ "&amp;'WBS Input'!C27)))</f>
        <v xml:space="preserve">  │  ├─ Redesign Approval Workflows</v>
      </c>
      <c r="C27" s="3" t="str">
        <f>IF(AND('WBS Input'!A27="",'WBS Input'!B27=""),"",IF('WBS Input'!A27&lt;&gt;"","",'WBS Input'!D27))</f>
        <v>Configure approval routes and HRIS permissions</v>
      </c>
      <c r="D27" s="31" t="str">
        <f>IF(AND('WBS Input'!A27="",'WBS Input'!B27=""),"",IF('WBS Input'!A27&lt;&gt;"","",IF('WBS Input'!E27="","",'WBS Input'!E27)))</f>
        <v/>
      </c>
      <c r="E27" s="31" t="str">
        <f>IF(AND('WBS Input'!A27="",'WBS Input'!B27=""),"",IF('WBS Input'!A27&lt;&gt;"","",IF('WBS Input'!J27="","",'WBS Input'!J27)))</f>
        <v/>
      </c>
    </row>
    <row r="28" spans="1:5" x14ac:dyDescent="0.3">
      <c r="A28" s="4">
        <f>IF(AND('WBS Input'!A28="",'WBS Input'!B28=""),"",IF('WBS Input'!A28&lt;&gt;"","★",'WBS Input'!B28))</f>
        <v>3.2</v>
      </c>
      <c r="B28" s="3" t="str">
        <f>IF(AND('WBS Input'!A28="",'WBS Input'!B28=""),"",IF('WBS Input'!A28&lt;&gt;"","■ "&amp;'WBS Input'!A28,IF(LEN('WBS Input'!B28)-LEN(SUBSTITUTE('WBS Input'!B28,".",""))&lt;=1,"  ├─ "&amp;'WBS Input'!C28,"  │  ├─ "&amp;'WBS Input'!C28)))</f>
        <v xml:space="preserve">  ├─ System/Data Integration Design</v>
      </c>
      <c r="C28" s="3" t="str">
        <f>IF(AND('WBS Input'!A28="",'WBS Input'!B28=""),"",IF('WBS Input'!A28&lt;&gt;"","",'WBS Input'!D28))</f>
        <v>Ensure data integrity</v>
      </c>
      <c r="D28" s="31" t="str">
        <f>IF(AND('WBS Input'!A28="",'WBS Input'!B28=""),"",IF('WBS Input'!A28&lt;&gt;"","",IF('WBS Input'!E28="","",'WBS Input'!E28)))</f>
        <v/>
      </c>
      <c r="E28" s="31" t="str">
        <f>IF(AND('WBS Input'!A28="",'WBS Input'!B28=""),"",IF('WBS Input'!A28&lt;&gt;"","",IF('WBS Input'!J28="","",'WBS Input'!J28)))</f>
        <v/>
      </c>
    </row>
    <row r="29" spans="1:5" x14ac:dyDescent="0.3">
      <c r="A29" s="4" t="str">
        <f>IF(AND('WBS Input'!A29="",'WBS Input'!B29=""),"",IF('WBS Input'!A29&lt;&gt;"","★",'WBS Input'!B29))</f>
        <v>3.2.1</v>
      </c>
      <c r="B29" s="3" t="str">
        <f>IF(AND('WBS Input'!A29="",'WBS Input'!B29=""),"",IF('WBS Input'!A29&lt;&gt;"","■ "&amp;'WBS Input'!A29,IF(LEN('WBS Input'!B29)-LEN(SUBSTITUTE('WBS Input'!B29,".",""))&lt;=1,"  ├─ "&amp;'WBS Input'!C29,"  │  ├─ "&amp;'WBS Input'!C29)))</f>
        <v xml:space="preserve">  │  ├─ Create Interface Specifications</v>
      </c>
      <c r="C29" s="3" t="str">
        <f>IF(AND('WBS Input'!A29="",'WBS Input'!B29=""),"",IF('WBS Input'!A29&lt;&gt;"","",'WBS Input'!D29))</f>
        <v>Define integration points with HCM, payroll systems, etc.</v>
      </c>
      <c r="D29" s="31" t="str">
        <f>IF(AND('WBS Input'!A29="",'WBS Input'!B29=""),"",IF('WBS Input'!A29&lt;&gt;"","",IF('WBS Input'!E29="","",'WBS Input'!E29)))</f>
        <v/>
      </c>
      <c r="E29" s="31" t="str">
        <f>IF(AND('WBS Input'!A29="",'WBS Input'!B29=""),"",IF('WBS Input'!A29&lt;&gt;"","",IF('WBS Input'!J29="","",'WBS Input'!J29)))</f>
        <v/>
      </c>
    </row>
    <row r="30" spans="1:5" x14ac:dyDescent="0.3">
      <c r="A30" s="4" t="str">
        <f>IF(AND('WBS Input'!A30="",'WBS Input'!B30=""),"",IF('WBS Input'!A30&lt;&gt;"","★",'WBS Input'!B30))</f>
        <v>3.2.2</v>
      </c>
      <c r="B30" s="3" t="str">
        <f>IF(AND('WBS Input'!A30="",'WBS Input'!B30=""),"",IF('WBS Input'!A30&lt;&gt;"","■ "&amp;'WBS Input'!A30,IF(LEN('WBS Input'!B30)-LEN(SUBSTITUTE('WBS Input'!B30,".",""))&lt;=1,"  ├─ "&amp;'WBS Input'!C30,"  │  ├─ "&amp;'WBS Input'!C30)))</f>
        <v xml:space="preserve">  │  ├─ Master Data Mapping</v>
      </c>
      <c r="C30" s="3" t="str">
        <f>IF(AND('WBS Input'!A30="",'WBS Input'!B30=""),"",IF('WBS Input'!A30&lt;&gt;"","",'WBS Input'!D30))</f>
        <v>Reconcile organization codes, names, and attribute definitions</v>
      </c>
      <c r="D30" s="31" t="str">
        <f>IF(AND('WBS Input'!A30="",'WBS Input'!B30=""),"",IF('WBS Input'!A30&lt;&gt;"","",IF('WBS Input'!E30="","",'WBS Input'!E30)))</f>
        <v/>
      </c>
      <c r="E30" s="31" t="str">
        <f>IF(AND('WBS Input'!A30="",'WBS Input'!B30=""),"",IF('WBS Input'!A30&lt;&gt;"","",IF('WBS Input'!J30="","",'WBS Input'!J30)))</f>
        <v/>
      </c>
    </row>
    <row r="31" spans="1:5" x14ac:dyDescent="0.3">
      <c r="A31" s="4">
        <f>IF(AND('WBS Input'!A31="",'WBS Input'!B31=""),"",IF('WBS Input'!A31&lt;&gt;"","★",'WBS Input'!B31))</f>
        <v>3.3</v>
      </c>
      <c r="B31" s="3" t="str">
        <f>IF(AND('WBS Input'!A31="",'WBS Input'!B31=""),"",IF('WBS Input'!A31&lt;&gt;"","■ "&amp;'WBS Input'!A31,IF(LEN('WBS Input'!B31)-LEN(SUBSTITUTE('WBS Input'!B31,".",""))&lt;=1,"  ├─ "&amp;'WBS Input'!C31,"  │  ├─ "&amp;'WBS Input'!C31)))</f>
        <v xml:space="preserve">  ├─ Develop Migration Plan</v>
      </c>
      <c r="C31" s="3" t="str">
        <f>IF(AND('WBS Input'!A31="",'WBS Input'!B31=""),"",IF('WBS Input'!A31&lt;&gt;"","",'WBS Input'!D31))</f>
        <v>Minimize transition risks</v>
      </c>
      <c r="D31" s="31" t="str">
        <f>IF(AND('WBS Input'!A31="",'WBS Input'!B31=""),"",IF('WBS Input'!A31&lt;&gt;"","",IF('WBS Input'!E31="","",'WBS Input'!E31)))</f>
        <v/>
      </c>
      <c r="E31" s="31" t="str">
        <f>IF(AND('WBS Input'!A31="",'WBS Input'!B31=""),"",IF('WBS Input'!A31&lt;&gt;"","",IF('WBS Input'!J31="","",'WBS Input'!J31)))</f>
        <v/>
      </c>
    </row>
    <row r="32" spans="1:5" x14ac:dyDescent="0.3">
      <c r="A32" s="4" t="str">
        <f>IF(AND('WBS Input'!A32="",'WBS Input'!B32=""),"",IF('WBS Input'!A32&lt;&gt;"","★",'WBS Input'!B32))</f>
        <v>3.3.1</v>
      </c>
      <c r="B32" s="3" t="str">
        <f>IF(AND('WBS Input'!A32="",'WBS Input'!B32=""),"",IF('WBS Input'!A32&lt;&gt;"","■ "&amp;'WBS Input'!A32,IF(LEN('WBS Input'!B32)-LEN(SUBSTITUTE('WBS Input'!B32,".",""))&lt;=1,"  ├─ "&amp;'WBS Input'!C32,"  │  ├─ "&amp;'WBS Input'!C32)))</f>
        <v xml:space="preserve">  │  ├─ Data Cleansing Plan</v>
      </c>
      <c r="C32" s="3" t="str">
        <f>IF(AND('WBS Input'!A32="",'WBS Input'!B32=""),"",IF('WBS Input'!A32&lt;&gt;"","",'WBS Input'!D32))</f>
        <v>Identify HR data requiring correction before migration</v>
      </c>
      <c r="D32" s="31" t="str">
        <f>IF(AND('WBS Input'!A32="",'WBS Input'!B32=""),"",IF('WBS Input'!A32&lt;&gt;"","",IF('WBS Input'!E32="","",'WBS Input'!E32)))</f>
        <v/>
      </c>
      <c r="E32" s="31" t="str">
        <f>IF(AND('WBS Input'!A32="",'WBS Input'!B32=""),"",IF('WBS Input'!A32&lt;&gt;"","",IF('WBS Input'!J32="","",'WBS Input'!J32)))</f>
        <v/>
      </c>
    </row>
    <row r="33" spans="1:5" x14ac:dyDescent="0.3">
      <c r="A33" s="4" t="str">
        <f>IF(AND('WBS Input'!A33="",'WBS Input'!B33=""),"",IF('WBS Input'!A33&lt;&gt;"","★",'WBS Input'!B33))</f>
        <v>3.3.2</v>
      </c>
      <c r="B33" s="3" t="str">
        <f>IF(AND('WBS Input'!A33="",'WBS Input'!B33=""),"",IF('WBS Input'!A33&lt;&gt;"","■ "&amp;'WBS Input'!A33,IF(LEN('WBS Input'!B33)-LEN(SUBSTITUTE('WBS Input'!B33,".",""))&lt;=1,"  ├─ "&amp;'WBS Input'!C33,"  │  ├─ "&amp;'WBS Input'!C33)))</f>
        <v xml:space="preserve">  │  ├─ Parallel Run Plan</v>
      </c>
      <c r="C33" s="3" t="str">
        <f>IF(AND('WBS Input'!A33="",'WBS Input'!B33=""),"",IF('WBS Input'!A33&lt;&gt;"","",'WBS Input'!D33))</f>
        <v>Define payroll dual-verification period and test population</v>
      </c>
      <c r="D33" s="31" t="str">
        <f>IF(AND('WBS Input'!A33="",'WBS Input'!B33=""),"",IF('WBS Input'!A33&lt;&gt;"","",IF('WBS Input'!E33="","",'WBS Input'!E33)))</f>
        <v/>
      </c>
      <c r="E33" s="31" t="str">
        <f>IF(AND('WBS Input'!A33="",'WBS Input'!B33=""),"",IF('WBS Input'!A33&lt;&gt;"","",IF('WBS Input'!J33="","",'WBS Input'!J33)))</f>
        <v/>
      </c>
    </row>
    <row r="34" spans="1:5" x14ac:dyDescent="0.3">
      <c r="A34" s="4" t="str">
        <f>IF(AND('WBS Input'!A34="",'WBS Input'!B34=""),"",IF('WBS Input'!A34&lt;&gt;"","★",'WBS Input'!B34))</f>
        <v>★</v>
      </c>
      <c r="B34" s="3" t="str">
        <f>IF(AND('WBS Input'!A34="",'WBS Input'!B34=""),"",IF('WBS Input'!A34&lt;&gt;"","■ "&amp;'WBS Input'!A34,IF(LEN('WBS Input'!B34)-LEN(SUBSTITUTE('WBS Input'!B34,".",""))&lt;=1,"  ├─ "&amp;'WBS Input'!C34,"  │  ├─ "&amp;'WBS Input'!C34)))</f>
        <v>■ 4. Build &amp; Test</v>
      </c>
      <c r="C34" s="3" t="str">
        <f>IF(AND('WBS Input'!A34="",'WBS Input'!B34=""),"",IF('WBS Input'!A34&lt;&gt;"","",'WBS Input'!D34))</f>
        <v/>
      </c>
      <c r="D34" s="31" t="str">
        <f>IF(AND('WBS Input'!A34="",'WBS Input'!B34=""),"",IF('WBS Input'!A34&lt;&gt;"","",IF('WBS Input'!E34="","",'WBS Input'!E34)))</f>
        <v/>
      </c>
      <c r="E34" s="31" t="str">
        <f>IF(AND('WBS Input'!A34="",'WBS Input'!B34=""),"",IF('WBS Input'!A34&lt;&gt;"","",IF('WBS Input'!J34="","",'WBS Input'!J34)))</f>
        <v/>
      </c>
    </row>
    <row r="35" spans="1:5" x14ac:dyDescent="0.3">
      <c r="A35" s="4">
        <f>IF(AND('WBS Input'!A35="",'WBS Input'!B35=""),"",IF('WBS Input'!A35&lt;&gt;"","★",'WBS Input'!B35))</f>
        <v>4.0999999999999996</v>
      </c>
      <c r="B35" s="3" t="str">
        <f>IF(AND('WBS Input'!A35="",'WBS Input'!B35=""),"",IF('WBS Input'!A35&lt;&gt;"","■ "&amp;'WBS Input'!A35,IF(LEN('WBS Input'!B35)-LEN(SUBSTITUTE('WBS Input'!B35,".",""))&lt;=1,"  ├─ "&amp;'WBS Input'!C35,"  │  ├─ "&amp;'WBS Input'!C35)))</f>
        <v xml:space="preserve">  ├─ User Acceptance Testing (UAT)</v>
      </c>
      <c r="C35" s="3" t="str">
        <f>IF(AND('WBS Input'!A35="",'WBS Input'!B35=""),"",IF('WBS Input'!A35&lt;&gt;"","",'WBS Input'!D35))</f>
        <v>Operational testing based on business scenarios</v>
      </c>
      <c r="D35" s="31" t="str">
        <f>IF(AND('WBS Input'!A35="",'WBS Input'!B35=""),"",IF('WBS Input'!A35&lt;&gt;"","",IF('WBS Input'!E35="","",'WBS Input'!E35)))</f>
        <v/>
      </c>
      <c r="E35" s="31" t="str">
        <f>IF(AND('WBS Input'!A35="",'WBS Input'!B35=""),"",IF('WBS Input'!A35&lt;&gt;"","",IF('WBS Input'!J35="","",'WBS Input'!J35)))</f>
        <v/>
      </c>
    </row>
    <row r="36" spans="1:5" x14ac:dyDescent="0.3">
      <c r="A36" s="4" t="str">
        <f>IF(AND('WBS Input'!A36="",'WBS Input'!B36=""),"",IF('WBS Input'!A36&lt;&gt;"","★",'WBS Input'!B36))</f>
        <v>★</v>
      </c>
      <c r="B36" s="3" t="str">
        <f>IF(AND('WBS Input'!A36="",'WBS Input'!B36=""),"",IF('WBS Input'!A36&lt;&gt;"","■ "&amp;'WBS Input'!A36,IF(LEN('WBS Input'!B36)-LEN(SUBSTITUTE('WBS Input'!B36,".",""))&lt;=1,"  ├─ "&amp;'WBS Input'!C36,"  │  ├─ "&amp;'WBS Input'!C36)))</f>
        <v>■ 5. Migration &amp; Parallel Run</v>
      </c>
      <c r="C36" s="3" t="str">
        <f>IF(AND('WBS Input'!A36="",'WBS Input'!B36=""),"",IF('WBS Input'!A36&lt;&gt;"","",'WBS Input'!D36))</f>
        <v/>
      </c>
      <c r="D36" s="31" t="str">
        <f>IF(AND('WBS Input'!A36="",'WBS Input'!B36=""),"",IF('WBS Input'!A36&lt;&gt;"","",IF('WBS Input'!E36="","",'WBS Input'!E36)))</f>
        <v/>
      </c>
      <c r="E36" s="31" t="str">
        <f>IF(AND('WBS Input'!A36="",'WBS Input'!B36=""),"",IF('WBS Input'!A36&lt;&gt;"","",IF('WBS Input'!J36="","",'WBS Input'!J36)))</f>
        <v/>
      </c>
    </row>
    <row r="37" spans="1:5" x14ac:dyDescent="0.3">
      <c r="A37" s="4">
        <f>IF(AND('WBS Input'!A37="",'WBS Input'!B37=""),"",IF('WBS Input'!A37&lt;&gt;"","★",'WBS Input'!B37))</f>
        <v>5.0999999999999996</v>
      </c>
      <c r="B37" s="3" t="str">
        <f>IF(AND('WBS Input'!A37="",'WBS Input'!B37=""),"",IF('WBS Input'!A37&lt;&gt;"","■ "&amp;'WBS Input'!A37,IF(LEN('WBS Input'!B37)-LEN(SUBSTITUTE('WBS Input'!B37,".",""))&lt;=1,"  ├─ "&amp;'WBS Input'!C37,"  │  ├─ "&amp;'WBS Input'!C37)))</f>
        <v xml:space="preserve">  ├─ Execute Parallel Run</v>
      </c>
      <c r="C37" s="3" t="str">
        <f>IF(AND('WBS Input'!A37="",'WBS Input'!B37=""),"",IF('WBS Input'!A37&lt;&gt;"","",'WBS Input'!D37))</f>
        <v>Reconcile payroll calculations between current and new vendor</v>
      </c>
      <c r="D37" s="31" t="str">
        <f>IF(AND('WBS Input'!A37="",'WBS Input'!B37=""),"",IF('WBS Input'!A37&lt;&gt;"","",IF('WBS Input'!E37="","",'WBS Input'!E37)))</f>
        <v/>
      </c>
      <c r="E37" s="31" t="str">
        <f>IF(AND('WBS Input'!A37="",'WBS Input'!B37=""),"",IF('WBS Input'!A37&lt;&gt;"","",IF('WBS Input'!J37="","",'WBS Input'!J37)))</f>
        <v/>
      </c>
    </row>
    <row r="38" spans="1:5" x14ac:dyDescent="0.3">
      <c r="A38" s="4">
        <f>IF(AND('WBS Input'!A38="",'WBS Input'!B38=""),"",IF('WBS Input'!A38&lt;&gt;"","★",'WBS Input'!B38))</f>
        <v>5.2</v>
      </c>
      <c r="B38" s="3" t="str">
        <f>IF(AND('WBS Input'!A38="",'WBS Input'!B38=""),"",IF('WBS Input'!A38&lt;&gt;"","■ "&amp;'WBS Input'!A38,IF(LEN('WBS Input'!B38)-LEN(SUBSTITUTE('WBS Input'!B38,".",""))&lt;=1,"  ├─ "&amp;'WBS Input'!C38,"  │  ├─ "&amp;'WBS Input'!C38)))</f>
        <v xml:space="preserve">  ├─ Go-Live Cutover</v>
      </c>
      <c r="C38" s="3" t="str">
        <f>IF(AND('WBS Input'!A38="",'WBS Input'!B38=""),"",IF('WBS Input'!A38&lt;&gt;"","",'WBS Input'!D38))</f>
        <v>Complete transition to new vendor</v>
      </c>
      <c r="D38" s="31" t="str">
        <f>IF(AND('WBS Input'!A38="",'WBS Input'!B38=""),"",IF('WBS Input'!A38&lt;&gt;"","",IF('WBS Input'!E38="","",'WBS Input'!E38)))</f>
        <v/>
      </c>
      <c r="E38" s="31" t="str">
        <f>IF(AND('WBS Input'!A38="",'WBS Input'!B38=""),"",IF('WBS Input'!A38&lt;&gt;"","",IF('WBS Input'!J38="","",'WBS Input'!J38)))</f>
        <v/>
      </c>
    </row>
    <row r="39" spans="1:5" x14ac:dyDescent="0.3">
      <c r="A39" s="4" t="str">
        <f>IF(AND('WBS Input'!A39="",'WBS Input'!B39=""),"",IF('WBS Input'!A39&lt;&gt;"","★",'WBS Input'!B39))</f>
        <v>★</v>
      </c>
      <c r="B39" s="3" t="str">
        <f>IF(AND('WBS Input'!A39="",'WBS Input'!B39=""),"",IF('WBS Input'!A39&lt;&gt;"","■ "&amp;'WBS Input'!A39,IF(LEN('WBS Input'!B39)-LEN(SUBSTITUTE('WBS Input'!B39,".",""))&lt;=1,"  ├─ "&amp;'WBS Input'!C39,"  │  ├─ "&amp;'WBS Input'!C39)))</f>
        <v>■ 6. ABC</v>
      </c>
      <c r="C39" s="3" t="str">
        <f>IF(AND('WBS Input'!A39="",'WBS Input'!B39=""),"",IF('WBS Input'!A39&lt;&gt;"","",'WBS Input'!D39))</f>
        <v/>
      </c>
      <c r="D39" s="31" t="str">
        <f>IF(AND('WBS Input'!A39="",'WBS Input'!B39=""),"",IF('WBS Input'!A39&lt;&gt;"","",IF('WBS Input'!E39="","",'WBS Input'!E39)))</f>
        <v/>
      </c>
      <c r="E39" s="31" t="str">
        <f>IF(AND('WBS Input'!A39="",'WBS Input'!B39=""),"",IF('WBS Input'!A39&lt;&gt;"","",IF('WBS Input'!J39="","",'WBS Input'!J39)))</f>
        <v/>
      </c>
    </row>
    <row r="40" spans="1:5" x14ac:dyDescent="0.3">
      <c r="A40" s="4">
        <f>IF(AND('WBS Input'!A40="",'WBS Input'!B40=""),"",IF('WBS Input'!A40&lt;&gt;"","★",'WBS Input'!B40))</f>
        <v>6.1</v>
      </c>
      <c r="B40" s="3" t="str">
        <f>IF(AND('WBS Input'!A40="",'WBS Input'!B40=""),"",IF('WBS Input'!A40&lt;&gt;"","■ "&amp;'WBS Input'!A40,IF(LEN('WBS Input'!B40)-LEN(SUBSTITUTE('WBS Input'!B40,".",""))&lt;=1,"  ├─ "&amp;'WBS Input'!C40,"  │  ├─ "&amp;'WBS Input'!C40)))</f>
        <v xml:space="preserve">  ├─ abcdef</v>
      </c>
      <c r="C40" s="3" t="str">
        <f>IF(AND('WBS Input'!A40="",'WBS Input'!B40=""),"",IF('WBS Input'!A40&lt;&gt;"","",'WBS Input'!D40))</f>
        <v>cccccc</v>
      </c>
      <c r="D40" s="31" t="str">
        <f>IF(AND('WBS Input'!A40="",'WBS Input'!B40=""),"",IF('WBS Input'!A40&lt;&gt;"","",IF('WBS Input'!E40="","",'WBS Input'!E40)))</f>
        <v/>
      </c>
      <c r="E40" s="31" t="str">
        <f>IF(AND('WBS Input'!A40="",'WBS Input'!B40=""),"",IF('WBS Input'!A40&lt;&gt;"","",IF('WBS Input'!J40="","",'WBS Input'!J40)))</f>
        <v/>
      </c>
    </row>
    <row r="41" spans="1:5" x14ac:dyDescent="0.3">
      <c r="A41" s="4" t="str">
        <f>IF(AND('WBS Input'!A41="",'WBS Input'!B41=""),"",IF('WBS Input'!A41&lt;&gt;"","★",'WBS Input'!B41))</f>
        <v>6.2</v>
      </c>
      <c r="B41" s="3" t="str">
        <f>IF(AND('WBS Input'!A41="",'WBS Input'!B41=""),"",IF('WBS Input'!A41&lt;&gt;"","■ "&amp;'WBS Input'!A41,IF(LEN('WBS Input'!B41)-LEN(SUBSTITUTE('WBS Input'!B41,".",""))&lt;=1,"  ├─ "&amp;'WBS Input'!C41,"  │  ├─ "&amp;'WBS Input'!C41)))</f>
        <v xml:space="preserve">  ├─ ghijk</v>
      </c>
      <c r="C41" s="3" t="str">
        <f>IF(AND('WBS Input'!A41="",'WBS Input'!B41=""),"",IF('WBS Input'!A41&lt;&gt;"","",'WBS Input'!D41))</f>
        <v>dddddd</v>
      </c>
      <c r="D41" s="31" t="str">
        <f>IF(AND('WBS Input'!A41="",'WBS Input'!B41=""),"",IF('WBS Input'!A41&lt;&gt;"","",IF('WBS Input'!E41="","",'WBS Input'!E41)))</f>
        <v/>
      </c>
      <c r="E41" s="31" t="str">
        <f>IF(AND('WBS Input'!A41="",'WBS Input'!B41=""),"",IF('WBS Input'!A41&lt;&gt;"","",IF('WBS Input'!J41="","",'WBS Input'!J41)))</f>
        <v/>
      </c>
    </row>
    <row r="42" spans="1:5" x14ac:dyDescent="0.3">
      <c r="A42" s="4" t="str">
        <f>IF(AND('WBS Input'!A42="",'WBS Input'!B42=""),"",IF('WBS Input'!A42&lt;&gt;"","★",'WBS Input'!B42))</f>
        <v/>
      </c>
      <c r="B42" s="3" t="str">
        <f>IF(AND('WBS Input'!A42="",'WBS Input'!B42=""),"",IF('WBS Input'!A42&lt;&gt;"","■ "&amp;'WBS Input'!A42,IF(LEN('WBS Input'!B42)-LEN(SUBSTITUTE('WBS Input'!B42,".",""))&lt;=1,"  ├─ "&amp;'WBS Input'!C42,"  │  ├─ "&amp;'WBS Input'!C42)))</f>
        <v/>
      </c>
      <c r="C42" s="3" t="str">
        <f>IF(AND('WBS Input'!A42="",'WBS Input'!B42=""),"",IF('WBS Input'!A42&lt;&gt;"","",'WBS Input'!D42))</f>
        <v/>
      </c>
      <c r="D42" s="31" t="str">
        <f>IF(AND('WBS Input'!A42="",'WBS Input'!B42=""),"",IF('WBS Input'!A42&lt;&gt;"","",IF('WBS Input'!E42="","",'WBS Input'!E42)))</f>
        <v/>
      </c>
      <c r="E42" s="31" t="str">
        <f>IF(AND('WBS Input'!A42="",'WBS Input'!B42=""),"",IF('WBS Input'!A42&lt;&gt;"","",IF('WBS Input'!J42="","",'WBS Input'!J42)))</f>
        <v/>
      </c>
    </row>
    <row r="43" spans="1:5" x14ac:dyDescent="0.3">
      <c r="A43" s="4" t="str">
        <f>IF(AND('WBS Input'!A43="",'WBS Input'!B43=""),"",IF('WBS Input'!A43&lt;&gt;"","★",'WBS Input'!B43))</f>
        <v/>
      </c>
      <c r="B43" s="3" t="str">
        <f>IF(AND('WBS Input'!A43="",'WBS Input'!B43=""),"",IF('WBS Input'!A43&lt;&gt;"","■ "&amp;'WBS Input'!A43,IF(LEN('WBS Input'!B43)-LEN(SUBSTITUTE('WBS Input'!B43,".",""))&lt;=1,"  ├─ "&amp;'WBS Input'!C43,"  │  ├─ "&amp;'WBS Input'!C43)))</f>
        <v/>
      </c>
      <c r="C43" s="3" t="str">
        <f>IF(AND('WBS Input'!A43="",'WBS Input'!B43=""),"",IF('WBS Input'!A43&lt;&gt;"","",'WBS Input'!D43))</f>
        <v/>
      </c>
      <c r="D43" s="31" t="str">
        <f>IF(AND('WBS Input'!A43="",'WBS Input'!B43=""),"",IF('WBS Input'!A43&lt;&gt;"","",IF('WBS Input'!E43="","",'WBS Input'!E43)))</f>
        <v/>
      </c>
      <c r="E43" s="31" t="str">
        <f>IF(AND('WBS Input'!A43="",'WBS Input'!B43=""),"",IF('WBS Input'!A43&lt;&gt;"","",IF('WBS Input'!J43="","",'WBS Input'!J43)))</f>
        <v/>
      </c>
    </row>
    <row r="44" spans="1:5" x14ac:dyDescent="0.3">
      <c r="A44" s="4" t="str">
        <f>IF(AND('WBS Input'!A44="",'WBS Input'!B44=""),"",IF('WBS Input'!A44&lt;&gt;"","★",'WBS Input'!B44))</f>
        <v/>
      </c>
      <c r="B44" s="3" t="str">
        <f>IF(AND('WBS Input'!A44="",'WBS Input'!B44=""),"",IF('WBS Input'!A44&lt;&gt;"","■ "&amp;'WBS Input'!A44,IF(LEN('WBS Input'!B44)-LEN(SUBSTITUTE('WBS Input'!B44,".",""))&lt;=1,"  ├─ "&amp;'WBS Input'!C44,"  │  ├─ "&amp;'WBS Input'!C44)))</f>
        <v/>
      </c>
      <c r="C44" s="3" t="str">
        <f>IF(AND('WBS Input'!A44="",'WBS Input'!B44=""),"",IF('WBS Input'!A44&lt;&gt;"","",'WBS Input'!D44))</f>
        <v/>
      </c>
      <c r="D44" s="31" t="str">
        <f>IF(AND('WBS Input'!A44="",'WBS Input'!B44=""),"",IF('WBS Input'!A44&lt;&gt;"","",IF('WBS Input'!E44="","",'WBS Input'!E44)))</f>
        <v/>
      </c>
      <c r="E44" s="31" t="str">
        <f>IF(AND('WBS Input'!A44="",'WBS Input'!B44=""),"",IF('WBS Input'!A44&lt;&gt;"","",IF('WBS Input'!J44="","",'WBS Input'!J44)))</f>
        <v/>
      </c>
    </row>
    <row r="45" spans="1:5" x14ac:dyDescent="0.3">
      <c r="A45" s="4" t="str">
        <f>IF(AND('WBS Input'!A45="",'WBS Input'!B45=""),"",IF('WBS Input'!A45&lt;&gt;"","★",'WBS Input'!B45))</f>
        <v/>
      </c>
      <c r="B45" s="3" t="str">
        <f>IF(AND('WBS Input'!A45="",'WBS Input'!B45=""),"",IF('WBS Input'!A45&lt;&gt;"","■ "&amp;'WBS Input'!A45,IF(LEN('WBS Input'!B45)-LEN(SUBSTITUTE('WBS Input'!B45,".",""))&lt;=1,"  ├─ "&amp;'WBS Input'!C45,"  │  ├─ "&amp;'WBS Input'!C45)))</f>
        <v/>
      </c>
      <c r="C45" s="3" t="str">
        <f>IF(AND('WBS Input'!A45="",'WBS Input'!B45=""),"",IF('WBS Input'!A45&lt;&gt;"","",'WBS Input'!D45))</f>
        <v/>
      </c>
      <c r="D45" s="31" t="str">
        <f>IF(AND('WBS Input'!A45="",'WBS Input'!B45=""),"",IF('WBS Input'!A45&lt;&gt;"","",IF('WBS Input'!E45="","",'WBS Input'!E45)))</f>
        <v/>
      </c>
      <c r="E45" s="31" t="str">
        <f>IF(AND('WBS Input'!A45="",'WBS Input'!B45=""),"",IF('WBS Input'!A45&lt;&gt;"","",IF('WBS Input'!J45="","",'WBS Input'!J45)))</f>
        <v/>
      </c>
    </row>
    <row r="46" spans="1:5" x14ac:dyDescent="0.3">
      <c r="A46" s="4" t="str">
        <f>IF(AND('WBS Input'!A46="",'WBS Input'!B46=""),"",IF('WBS Input'!A46&lt;&gt;"","★",'WBS Input'!B46))</f>
        <v/>
      </c>
      <c r="B46" s="3" t="str">
        <f>IF(AND('WBS Input'!A46="",'WBS Input'!B46=""),"",IF('WBS Input'!A46&lt;&gt;"","■ "&amp;'WBS Input'!A46,IF(LEN('WBS Input'!B46)-LEN(SUBSTITUTE('WBS Input'!B46,".",""))&lt;=1,"  ├─ "&amp;'WBS Input'!C46,"  │  ├─ "&amp;'WBS Input'!C46)))</f>
        <v/>
      </c>
      <c r="C46" s="3" t="str">
        <f>IF(AND('WBS Input'!A46="",'WBS Input'!B46=""),"",IF('WBS Input'!A46&lt;&gt;"","",'WBS Input'!D46))</f>
        <v/>
      </c>
      <c r="D46" s="31" t="str">
        <f>IF(AND('WBS Input'!A46="",'WBS Input'!B46=""),"",IF('WBS Input'!A46&lt;&gt;"","",IF('WBS Input'!E46="","",'WBS Input'!E46)))</f>
        <v/>
      </c>
      <c r="E46" s="31" t="str">
        <f>IF(AND('WBS Input'!A46="",'WBS Input'!B46=""),"",IF('WBS Input'!A46&lt;&gt;"","",IF('WBS Input'!J46="","",'WBS Input'!J46)))</f>
        <v/>
      </c>
    </row>
    <row r="47" spans="1:5" x14ac:dyDescent="0.3">
      <c r="A47" s="4" t="str">
        <f>IF(AND('WBS Input'!A47="",'WBS Input'!B47=""),"",IF('WBS Input'!A47&lt;&gt;"","★",'WBS Input'!B47))</f>
        <v/>
      </c>
      <c r="B47" s="3" t="str">
        <f>IF(AND('WBS Input'!A47="",'WBS Input'!B47=""),"",IF('WBS Input'!A47&lt;&gt;"","■ "&amp;'WBS Input'!A47,IF(LEN('WBS Input'!B47)-LEN(SUBSTITUTE('WBS Input'!B47,".",""))&lt;=1,"  ├─ "&amp;'WBS Input'!C47,"  │  ├─ "&amp;'WBS Input'!C47)))</f>
        <v/>
      </c>
      <c r="C47" s="3" t="str">
        <f>IF(AND('WBS Input'!A47="",'WBS Input'!B47=""),"",IF('WBS Input'!A47&lt;&gt;"","",'WBS Input'!D47))</f>
        <v/>
      </c>
      <c r="D47" s="31" t="str">
        <f>IF(AND('WBS Input'!A47="",'WBS Input'!B47=""),"",IF('WBS Input'!A47&lt;&gt;"","",IF('WBS Input'!E47="","",'WBS Input'!E47)))</f>
        <v/>
      </c>
      <c r="E47" s="31" t="str">
        <f>IF(AND('WBS Input'!A47="",'WBS Input'!B47=""),"",IF('WBS Input'!A47&lt;&gt;"","",IF('WBS Input'!J47="","",'WBS Input'!J47)))</f>
        <v/>
      </c>
    </row>
    <row r="48" spans="1:5" x14ac:dyDescent="0.3">
      <c r="A48" s="4" t="str">
        <f>IF(AND('WBS Input'!A48="",'WBS Input'!B48=""),"",IF('WBS Input'!A48&lt;&gt;"","★",'WBS Input'!B48))</f>
        <v/>
      </c>
      <c r="B48" s="3" t="str">
        <f>IF(AND('WBS Input'!A48="",'WBS Input'!B48=""),"",IF('WBS Input'!A48&lt;&gt;"","■ "&amp;'WBS Input'!A48,IF(LEN('WBS Input'!B48)-LEN(SUBSTITUTE('WBS Input'!B48,".",""))&lt;=1,"  ├─ "&amp;'WBS Input'!C48,"  │  ├─ "&amp;'WBS Input'!C48)))</f>
        <v/>
      </c>
      <c r="C48" s="3" t="str">
        <f>IF(AND('WBS Input'!A48="",'WBS Input'!B48=""),"",IF('WBS Input'!A48&lt;&gt;"","",'WBS Input'!D48))</f>
        <v/>
      </c>
      <c r="D48" s="31" t="str">
        <f>IF(AND('WBS Input'!A48="",'WBS Input'!B48=""),"",IF('WBS Input'!A48&lt;&gt;"","",IF('WBS Input'!E48="","",'WBS Input'!E48)))</f>
        <v/>
      </c>
      <c r="E48" s="31" t="str">
        <f>IF(AND('WBS Input'!A48="",'WBS Input'!B48=""),"",IF('WBS Input'!A48&lt;&gt;"","",IF('WBS Input'!J48="","",'WBS Input'!J48)))</f>
        <v/>
      </c>
    </row>
    <row r="49" spans="1:5" x14ac:dyDescent="0.3">
      <c r="A49" s="4" t="str">
        <f>IF(AND('WBS Input'!A49="",'WBS Input'!B49=""),"",IF('WBS Input'!A49&lt;&gt;"","★",'WBS Input'!B49))</f>
        <v/>
      </c>
      <c r="B49" s="3" t="str">
        <f>IF(AND('WBS Input'!A49="",'WBS Input'!B49=""),"",IF('WBS Input'!A49&lt;&gt;"","■ "&amp;'WBS Input'!A49,IF(LEN('WBS Input'!B49)-LEN(SUBSTITUTE('WBS Input'!B49,".",""))&lt;=1,"  ├─ "&amp;'WBS Input'!C49,"  │  ├─ "&amp;'WBS Input'!C49)))</f>
        <v/>
      </c>
      <c r="C49" s="3" t="str">
        <f>IF(AND('WBS Input'!A49="",'WBS Input'!B49=""),"",IF('WBS Input'!A49&lt;&gt;"","",'WBS Input'!D49))</f>
        <v/>
      </c>
      <c r="D49" s="31" t="str">
        <f>IF(AND('WBS Input'!A49="",'WBS Input'!B49=""),"",IF('WBS Input'!A49&lt;&gt;"","",IF('WBS Input'!E49="","",'WBS Input'!E49)))</f>
        <v/>
      </c>
      <c r="E49" s="31" t="str">
        <f>IF(AND('WBS Input'!A49="",'WBS Input'!B49=""),"",IF('WBS Input'!A49&lt;&gt;"","",IF('WBS Input'!J49="","",'WBS Input'!J49)))</f>
        <v/>
      </c>
    </row>
    <row r="50" spans="1:5" x14ac:dyDescent="0.3">
      <c r="A50" s="4" t="str">
        <f>IF(AND('WBS Input'!A50="",'WBS Input'!B50=""),"",IF('WBS Input'!A50&lt;&gt;"","★",'WBS Input'!B50))</f>
        <v/>
      </c>
      <c r="B50" s="3" t="str">
        <f>IF(AND('WBS Input'!A50="",'WBS Input'!B50=""),"",IF('WBS Input'!A50&lt;&gt;"","■ "&amp;'WBS Input'!A50,IF(LEN('WBS Input'!B50)-LEN(SUBSTITUTE('WBS Input'!B50,".",""))&lt;=1,"  ├─ "&amp;'WBS Input'!C50,"  │  ├─ "&amp;'WBS Input'!C50)))</f>
        <v/>
      </c>
      <c r="C50" s="3" t="str">
        <f>IF(AND('WBS Input'!A50="",'WBS Input'!B50=""),"",IF('WBS Input'!A50&lt;&gt;"","",'WBS Input'!D50))</f>
        <v/>
      </c>
      <c r="D50" s="31" t="str">
        <f>IF(AND('WBS Input'!A50="",'WBS Input'!B50=""),"",IF('WBS Input'!A50&lt;&gt;"","",IF('WBS Input'!E50="","",'WBS Input'!E50)))</f>
        <v/>
      </c>
      <c r="E50" s="31" t="str">
        <f>IF(AND('WBS Input'!A50="",'WBS Input'!B50=""),"",IF('WBS Input'!A50&lt;&gt;"","",IF('WBS Input'!J50="","",'WBS Input'!J50)))</f>
        <v/>
      </c>
    </row>
    <row r="51" spans="1:5" x14ac:dyDescent="0.3">
      <c r="A51" s="4" t="str">
        <f>IF(AND('WBS Input'!A51="",'WBS Input'!B51=""),"",IF('WBS Input'!A51&lt;&gt;"","★",'WBS Input'!B51))</f>
        <v/>
      </c>
      <c r="B51" s="3" t="str">
        <f>IF(AND('WBS Input'!A51="",'WBS Input'!B51=""),"",IF('WBS Input'!A51&lt;&gt;"","■ "&amp;'WBS Input'!A51,IF(LEN('WBS Input'!B51)-LEN(SUBSTITUTE('WBS Input'!B51,".",""))&lt;=1,"  ├─ "&amp;'WBS Input'!C51,"  │  ├─ "&amp;'WBS Input'!C51)))</f>
        <v/>
      </c>
      <c r="C51" s="3" t="str">
        <f>IF(AND('WBS Input'!A51="",'WBS Input'!B51=""),"",IF('WBS Input'!A51&lt;&gt;"","",'WBS Input'!D51))</f>
        <v/>
      </c>
      <c r="D51" s="31" t="str">
        <f>IF(AND('WBS Input'!A51="",'WBS Input'!B51=""),"",IF('WBS Input'!A51&lt;&gt;"","",IF('WBS Input'!E51="","",'WBS Input'!E51)))</f>
        <v/>
      </c>
      <c r="E51" s="31" t="str">
        <f>IF(AND('WBS Input'!A51="",'WBS Input'!B51=""),"",IF('WBS Input'!A51&lt;&gt;"","",IF('WBS Input'!J51="","",'WBS Input'!J51)))</f>
        <v/>
      </c>
    </row>
    <row r="52" spans="1:5" x14ac:dyDescent="0.3">
      <c r="A52" s="4" t="str">
        <f>IF(AND('WBS Input'!A52="",'WBS Input'!B52=""),"",IF('WBS Input'!A52&lt;&gt;"","★",'WBS Input'!B52))</f>
        <v/>
      </c>
      <c r="B52" s="3" t="str">
        <f>IF(AND('WBS Input'!A52="",'WBS Input'!B52=""),"",IF('WBS Input'!A52&lt;&gt;"","■ "&amp;'WBS Input'!A52,IF(LEN('WBS Input'!B52)-LEN(SUBSTITUTE('WBS Input'!B52,".",""))&lt;=1,"  ├─ "&amp;'WBS Input'!C52,"  │  ├─ "&amp;'WBS Input'!C52)))</f>
        <v/>
      </c>
      <c r="C52" s="3" t="str">
        <f>IF(AND('WBS Input'!A52="",'WBS Input'!B52=""),"",IF('WBS Input'!A52&lt;&gt;"","",'WBS Input'!D52))</f>
        <v/>
      </c>
      <c r="D52" s="31" t="str">
        <f>IF(AND('WBS Input'!A52="",'WBS Input'!B52=""),"",IF('WBS Input'!A52&lt;&gt;"","",IF('WBS Input'!E52="","",'WBS Input'!E52)))</f>
        <v/>
      </c>
      <c r="E52" s="31" t="str">
        <f>IF(AND('WBS Input'!A52="",'WBS Input'!B52=""),"",IF('WBS Input'!A52&lt;&gt;"","",IF('WBS Input'!J52="","",'WBS Input'!J52)))</f>
        <v/>
      </c>
    </row>
    <row r="53" spans="1:5" x14ac:dyDescent="0.3">
      <c r="A53" s="4" t="str">
        <f>IF(AND('WBS Input'!A53="",'WBS Input'!B53=""),"",IF('WBS Input'!A53&lt;&gt;"","★",'WBS Input'!B53))</f>
        <v/>
      </c>
      <c r="B53" s="3" t="str">
        <f>IF(AND('WBS Input'!A53="",'WBS Input'!B53=""),"",IF('WBS Input'!A53&lt;&gt;"","■ "&amp;'WBS Input'!A53,IF(LEN('WBS Input'!B53)-LEN(SUBSTITUTE('WBS Input'!B53,".",""))&lt;=1,"  ├─ "&amp;'WBS Input'!C53,"  │  ├─ "&amp;'WBS Input'!C53)))</f>
        <v/>
      </c>
      <c r="C53" s="3" t="str">
        <f>IF(AND('WBS Input'!A53="",'WBS Input'!B53=""),"",IF('WBS Input'!A53&lt;&gt;"","",'WBS Input'!D53))</f>
        <v/>
      </c>
      <c r="D53" s="31" t="str">
        <f>IF(AND('WBS Input'!A53="",'WBS Input'!B53=""),"",IF('WBS Input'!A53&lt;&gt;"","",IF('WBS Input'!E53="","",'WBS Input'!E53)))</f>
        <v/>
      </c>
      <c r="E53" s="31" t="str">
        <f>IF(AND('WBS Input'!A53="",'WBS Input'!B53=""),"",IF('WBS Input'!A53&lt;&gt;"","",IF('WBS Input'!J53="","",'WBS Input'!J53)))</f>
        <v/>
      </c>
    </row>
    <row r="54" spans="1:5" x14ac:dyDescent="0.3">
      <c r="A54" s="4" t="str">
        <f>IF(AND('WBS Input'!A54="",'WBS Input'!B54=""),"",IF('WBS Input'!A54&lt;&gt;"","★",'WBS Input'!B54))</f>
        <v/>
      </c>
      <c r="B54" s="3" t="str">
        <f>IF(AND('WBS Input'!A54="",'WBS Input'!B54=""),"",IF('WBS Input'!A54&lt;&gt;"","■ "&amp;'WBS Input'!A54,IF(LEN('WBS Input'!B54)-LEN(SUBSTITUTE('WBS Input'!B54,".",""))&lt;=1,"  ├─ "&amp;'WBS Input'!C54,"  │  ├─ "&amp;'WBS Input'!C54)))</f>
        <v/>
      </c>
      <c r="C54" s="3" t="str">
        <f>IF(AND('WBS Input'!A54="",'WBS Input'!B54=""),"",IF('WBS Input'!A54&lt;&gt;"","",'WBS Input'!D54))</f>
        <v/>
      </c>
      <c r="D54" s="31" t="str">
        <f>IF(AND('WBS Input'!A54="",'WBS Input'!B54=""),"",IF('WBS Input'!A54&lt;&gt;"","",IF('WBS Input'!E54="","",'WBS Input'!E54)))</f>
        <v/>
      </c>
      <c r="E54" s="31" t="str">
        <f>IF(AND('WBS Input'!A54="",'WBS Input'!B54=""),"",IF('WBS Input'!A54&lt;&gt;"","",IF('WBS Input'!J54="","",'WBS Input'!J54)))</f>
        <v/>
      </c>
    </row>
    <row r="55" spans="1:5" x14ac:dyDescent="0.3">
      <c r="A55" s="4" t="str">
        <f>IF(AND('WBS Input'!A55="",'WBS Input'!B55=""),"",IF('WBS Input'!A55&lt;&gt;"","★",'WBS Input'!B55))</f>
        <v/>
      </c>
      <c r="B55" s="3" t="str">
        <f>IF(AND('WBS Input'!A55="",'WBS Input'!B55=""),"",IF('WBS Input'!A55&lt;&gt;"","■ "&amp;'WBS Input'!A55,IF(LEN('WBS Input'!B55)-LEN(SUBSTITUTE('WBS Input'!B55,".",""))&lt;=1,"  ├─ "&amp;'WBS Input'!C55,"  │  ├─ "&amp;'WBS Input'!C55)))</f>
        <v/>
      </c>
      <c r="C55" s="3" t="str">
        <f>IF(AND('WBS Input'!A55="",'WBS Input'!B55=""),"",IF('WBS Input'!A55&lt;&gt;"","",'WBS Input'!D55))</f>
        <v/>
      </c>
      <c r="D55" s="31" t="str">
        <f>IF(AND('WBS Input'!A55="",'WBS Input'!B55=""),"",IF('WBS Input'!A55&lt;&gt;"","",IF('WBS Input'!E55="","",'WBS Input'!E55)))</f>
        <v/>
      </c>
      <c r="E55" s="31" t="str">
        <f>IF(AND('WBS Input'!A55="",'WBS Input'!B55=""),"",IF('WBS Input'!A55&lt;&gt;"","",IF('WBS Input'!J55="","",'WBS Input'!J55)))</f>
        <v/>
      </c>
    </row>
    <row r="56" spans="1:5" x14ac:dyDescent="0.3">
      <c r="A56" s="4" t="str">
        <f>IF(AND('WBS Input'!A56="",'WBS Input'!B56=""),"",IF('WBS Input'!A56&lt;&gt;"","★",'WBS Input'!B56))</f>
        <v/>
      </c>
      <c r="B56" s="3" t="str">
        <f>IF(AND('WBS Input'!A56="",'WBS Input'!B56=""),"",IF('WBS Input'!A56&lt;&gt;"","■ "&amp;'WBS Input'!A56,IF(LEN('WBS Input'!B56)-LEN(SUBSTITUTE('WBS Input'!B56,".",""))&lt;=1,"  ├─ "&amp;'WBS Input'!C56,"  │  ├─ "&amp;'WBS Input'!C56)))</f>
        <v/>
      </c>
      <c r="C56" s="3" t="str">
        <f>IF(AND('WBS Input'!A56="",'WBS Input'!B56=""),"",IF('WBS Input'!A56&lt;&gt;"","",'WBS Input'!D56))</f>
        <v/>
      </c>
      <c r="D56" s="31" t="str">
        <f>IF(AND('WBS Input'!A56="",'WBS Input'!B56=""),"",IF('WBS Input'!A56&lt;&gt;"","",IF('WBS Input'!E56="","",'WBS Input'!E56)))</f>
        <v/>
      </c>
      <c r="E56" s="31" t="str">
        <f>IF(AND('WBS Input'!A56="",'WBS Input'!B56=""),"",IF('WBS Input'!A56&lt;&gt;"","",IF('WBS Input'!J56="","",'WBS Input'!J56)))</f>
        <v/>
      </c>
    </row>
    <row r="57" spans="1:5" x14ac:dyDescent="0.3">
      <c r="A57" s="4" t="str">
        <f>IF(AND('WBS Input'!A57="",'WBS Input'!B57=""),"",IF('WBS Input'!A57&lt;&gt;"","★",'WBS Input'!B57))</f>
        <v/>
      </c>
      <c r="B57" s="3" t="str">
        <f>IF(AND('WBS Input'!A57="",'WBS Input'!B57=""),"",IF('WBS Input'!A57&lt;&gt;"","■ "&amp;'WBS Input'!A57,IF(LEN('WBS Input'!B57)-LEN(SUBSTITUTE('WBS Input'!B57,".",""))&lt;=1,"  ├─ "&amp;'WBS Input'!C57,"  │  ├─ "&amp;'WBS Input'!C57)))</f>
        <v/>
      </c>
      <c r="C57" s="3" t="str">
        <f>IF(AND('WBS Input'!A57="",'WBS Input'!B57=""),"",IF('WBS Input'!A57&lt;&gt;"","",'WBS Input'!D57))</f>
        <v/>
      </c>
      <c r="D57" s="31" t="str">
        <f>IF(AND('WBS Input'!A57="",'WBS Input'!B57=""),"",IF('WBS Input'!A57&lt;&gt;"","",IF('WBS Input'!E57="","",'WBS Input'!E57)))</f>
        <v/>
      </c>
      <c r="E57" s="31" t="str">
        <f>IF(AND('WBS Input'!A57="",'WBS Input'!B57=""),"",IF('WBS Input'!A57&lt;&gt;"","",IF('WBS Input'!J57="","",'WBS Input'!J57)))</f>
        <v/>
      </c>
    </row>
    <row r="58" spans="1:5" x14ac:dyDescent="0.3">
      <c r="A58" s="4" t="str">
        <f>IF(AND('WBS Input'!A58="",'WBS Input'!B58=""),"",IF('WBS Input'!A58&lt;&gt;"","★",'WBS Input'!B58))</f>
        <v/>
      </c>
      <c r="B58" s="3" t="str">
        <f>IF(AND('WBS Input'!A58="",'WBS Input'!B58=""),"",IF('WBS Input'!A58&lt;&gt;"","■ "&amp;'WBS Input'!A58,IF(LEN('WBS Input'!B58)-LEN(SUBSTITUTE('WBS Input'!B58,".",""))&lt;=1,"  ├─ "&amp;'WBS Input'!C58,"  │  ├─ "&amp;'WBS Input'!C58)))</f>
        <v/>
      </c>
      <c r="C58" s="3" t="str">
        <f>IF(AND('WBS Input'!A58="",'WBS Input'!B58=""),"",IF('WBS Input'!A58&lt;&gt;"","",'WBS Input'!D58))</f>
        <v/>
      </c>
      <c r="D58" s="31" t="str">
        <f>IF(AND('WBS Input'!A58="",'WBS Input'!B58=""),"",IF('WBS Input'!A58&lt;&gt;"","",IF('WBS Input'!E58="","",'WBS Input'!E58)))</f>
        <v/>
      </c>
      <c r="E58" s="31" t="str">
        <f>IF(AND('WBS Input'!A58="",'WBS Input'!B58=""),"",IF('WBS Input'!A58&lt;&gt;"","",IF('WBS Input'!J58="","",'WBS Input'!J58)))</f>
        <v/>
      </c>
    </row>
    <row r="59" spans="1:5" x14ac:dyDescent="0.3">
      <c r="A59" s="4" t="str">
        <f>IF(AND('WBS Input'!A59="",'WBS Input'!B59=""),"",IF('WBS Input'!A59&lt;&gt;"","★",'WBS Input'!B59))</f>
        <v/>
      </c>
      <c r="B59" s="3" t="str">
        <f>IF(AND('WBS Input'!A59="",'WBS Input'!B59=""),"",IF('WBS Input'!A59&lt;&gt;"","■ "&amp;'WBS Input'!A59,IF(LEN('WBS Input'!B59)-LEN(SUBSTITUTE('WBS Input'!B59,".",""))&lt;=1,"  ├─ "&amp;'WBS Input'!C59,"  │  ├─ "&amp;'WBS Input'!C59)))</f>
        <v/>
      </c>
      <c r="C59" s="3" t="str">
        <f>IF(AND('WBS Input'!A59="",'WBS Input'!B59=""),"",IF('WBS Input'!A59&lt;&gt;"","",'WBS Input'!D59))</f>
        <v/>
      </c>
      <c r="D59" s="31" t="str">
        <f>IF(AND('WBS Input'!A59="",'WBS Input'!B59=""),"",IF('WBS Input'!A59&lt;&gt;"","",IF('WBS Input'!E59="","",'WBS Input'!E59)))</f>
        <v/>
      </c>
      <c r="E59" s="31" t="str">
        <f>IF(AND('WBS Input'!A59="",'WBS Input'!B59=""),"",IF('WBS Input'!A59&lt;&gt;"","",IF('WBS Input'!J59="","",'WBS Input'!J59)))</f>
        <v/>
      </c>
    </row>
    <row r="60" spans="1:5" x14ac:dyDescent="0.3">
      <c r="A60" s="4" t="str">
        <f>IF(AND('WBS Input'!A60="",'WBS Input'!B60=""),"",IF('WBS Input'!A60&lt;&gt;"","★",'WBS Input'!B60))</f>
        <v/>
      </c>
      <c r="B60" s="3" t="str">
        <f>IF(AND('WBS Input'!A60="",'WBS Input'!B60=""),"",IF('WBS Input'!A60&lt;&gt;"","■ "&amp;'WBS Input'!A60,IF(LEN('WBS Input'!B60)-LEN(SUBSTITUTE('WBS Input'!B60,".",""))&lt;=1,"  ├─ "&amp;'WBS Input'!C60,"  │  ├─ "&amp;'WBS Input'!C60)))</f>
        <v/>
      </c>
      <c r="C60" s="3" t="str">
        <f>IF(AND('WBS Input'!A60="",'WBS Input'!B60=""),"",IF('WBS Input'!A60&lt;&gt;"","",'WBS Input'!D60))</f>
        <v/>
      </c>
      <c r="D60" s="31" t="str">
        <f>IF(AND('WBS Input'!A60="",'WBS Input'!B60=""),"",IF('WBS Input'!A60&lt;&gt;"","",IF('WBS Input'!E60="","",'WBS Input'!E60)))</f>
        <v/>
      </c>
      <c r="E60" s="31" t="str">
        <f>IF(AND('WBS Input'!A60="",'WBS Input'!B60=""),"",IF('WBS Input'!A60&lt;&gt;"","",IF('WBS Input'!J60="","",'WBS Input'!J60)))</f>
        <v/>
      </c>
    </row>
    <row r="61" spans="1:5" x14ac:dyDescent="0.3">
      <c r="A61" s="4" t="str">
        <f>IF(AND('WBS Input'!A61="",'WBS Input'!B61=""),"",IF('WBS Input'!A61&lt;&gt;"","★",'WBS Input'!B61))</f>
        <v/>
      </c>
      <c r="B61" s="3" t="str">
        <f>IF(AND('WBS Input'!A61="",'WBS Input'!B61=""),"",IF('WBS Input'!A61&lt;&gt;"","■ "&amp;'WBS Input'!A61,IF(LEN('WBS Input'!B61)-LEN(SUBSTITUTE('WBS Input'!B61,".",""))&lt;=1,"  ├─ "&amp;'WBS Input'!C61,"  │  ├─ "&amp;'WBS Input'!C61)))</f>
        <v/>
      </c>
      <c r="C61" s="3" t="str">
        <f>IF(AND('WBS Input'!A61="",'WBS Input'!B61=""),"",IF('WBS Input'!A61&lt;&gt;"","",'WBS Input'!D61))</f>
        <v/>
      </c>
      <c r="D61" s="31" t="str">
        <f>IF(AND('WBS Input'!A61="",'WBS Input'!B61=""),"",IF('WBS Input'!A61&lt;&gt;"","",IF('WBS Input'!E61="","",'WBS Input'!E61)))</f>
        <v/>
      </c>
      <c r="E61" s="31" t="str">
        <f>IF(AND('WBS Input'!A61="",'WBS Input'!B61=""),"",IF('WBS Input'!A61&lt;&gt;"","",IF('WBS Input'!J61="","",'WBS Input'!J61)))</f>
        <v/>
      </c>
    </row>
    <row r="62" spans="1:5" x14ac:dyDescent="0.3">
      <c r="A62" s="4" t="str">
        <f>IF(AND('WBS Input'!A62="",'WBS Input'!B62=""),"",IF('WBS Input'!A62&lt;&gt;"","★",'WBS Input'!B62))</f>
        <v/>
      </c>
      <c r="B62" s="3" t="str">
        <f>IF(AND('WBS Input'!A62="",'WBS Input'!B62=""),"",IF('WBS Input'!A62&lt;&gt;"","■ "&amp;'WBS Input'!A62,IF(LEN('WBS Input'!B62)-LEN(SUBSTITUTE('WBS Input'!B62,".",""))&lt;=1,"  ├─ "&amp;'WBS Input'!C62,"  │  ├─ "&amp;'WBS Input'!C62)))</f>
        <v/>
      </c>
      <c r="C62" s="3" t="str">
        <f>IF(AND('WBS Input'!A62="",'WBS Input'!B62=""),"",IF('WBS Input'!A62&lt;&gt;"","",'WBS Input'!D62))</f>
        <v/>
      </c>
      <c r="D62" s="31" t="str">
        <f>IF(AND('WBS Input'!A62="",'WBS Input'!B62=""),"",IF('WBS Input'!A62&lt;&gt;"","",IF('WBS Input'!E62="","",'WBS Input'!E62)))</f>
        <v/>
      </c>
      <c r="E62" s="31" t="str">
        <f>IF(AND('WBS Input'!A62="",'WBS Input'!B62=""),"",IF('WBS Input'!A62&lt;&gt;"","",IF('WBS Input'!J62="","",'WBS Input'!J62)))</f>
        <v/>
      </c>
    </row>
    <row r="63" spans="1:5" x14ac:dyDescent="0.3">
      <c r="A63" s="4" t="str">
        <f>IF(AND('WBS Input'!A63="",'WBS Input'!B63=""),"",IF('WBS Input'!A63&lt;&gt;"","★",'WBS Input'!B63))</f>
        <v/>
      </c>
      <c r="B63" s="3" t="str">
        <f>IF(AND('WBS Input'!A63="",'WBS Input'!B63=""),"",IF('WBS Input'!A63&lt;&gt;"","■ "&amp;'WBS Input'!A63,IF(LEN('WBS Input'!B63)-LEN(SUBSTITUTE('WBS Input'!B63,".",""))&lt;=1,"  ├─ "&amp;'WBS Input'!C63,"  │  ├─ "&amp;'WBS Input'!C63)))</f>
        <v/>
      </c>
      <c r="C63" s="3" t="str">
        <f>IF(AND('WBS Input'!A63="",'WBS Input'!B63=""),"",IF('WBS Input'!A63&lt;&gt;"","",'WBS Input'!D63))</f>
        <v/>
      </c>
      <c r="D63" s="31" t="str">
        <f>IF(AND('WBS Input'!A63="",'WBS Input'!B63=""),"",IF('WBS Input'!A63&lt;&gt;"","",IF('WBS Input'!E63="","",'WBS Input'!E63)))</f>
        <v/>
      </c>
      <c r="E63" s="31" t="str">
        <f>IF(AND('WBS Input'!A63="",'WBS Input'!B63=""),"",IF('WBS Input'!A63&lt;&gt;"","",IF('WBS Input'!J63="","",'WBS Input'!J63)))</f>
        <v/>
      </c>
    </row>
    <row r="64" spans="1:5" x14ac:dyDescent="0.3">
      <c r="A64" s="4" t="str">
        <f>IF(AND('WBS Input'!A64="",'WBS Input'!B64=""),"",IF('WBS Input'!A64&lt;&gt;"","★",'WBS Input'!B64))</f>
        <v/>
      </c>
      <c r="B64" s="3" t="str">
        <f>IF(AND('WBS Input'!A64="",'WBS Input'!B64=""),"",IF('WBS Input'!A64&lt;&gt;"","■ "&amp;'WBS Input'!A64,IF(LEN('WBS Input'!B64)-LEN(SUBSTITUTE('WBS Input'!B64,".",""))&lt;=1,"  ├─ "&amp;'WBS Input'!C64,"  │  ├─ "&amp;'WBS Input'!C64)))</f>
        <v/>
      </c>
      <c r="C64" s="3" t="str">
        <f>IF(AND('WBS Input'!A64="",'WBS Input'!B64=""),"",IF('WBS Input'!A64&lt;&gt;"","",'WBS Input'!D64))</f>
        <v/>
      </c>
      <c r="D64" s="31" t="str">
        <f>IF(AND('WBS Input'!A64="",'WBS Input'!B64=""),"",IF('WBS Input'!A64&lt;&gt;"","",IF('WBS Input'!E64="","",'WBS Input'!E64)))</f>
        <v/>
      </c>
      <c r="E64" s="31" t="str">
        <f>IF(AND('WBS Input'!A64="",'WBS Input'!B64=""),"",IF('WBS Input'!A64&lt;&gt;"","",IF('WBS Input'!J64="","",'WBS Input'!J64)))</f>
        <v/>
      </c>
    </row>
    <row r="65" spans="1:5" x14ac:dyDescent="0.3">
      <c r="A65" s="4" t="str">
        <f>IF(AND('WBS Input'!A65="",'WBS Input'!B65=""),"",IF('WBS Input'!A65&lt;&gt;"","★",'WBS Input'!B65))</f>
        <v/>
      </c>
      <c r="B65" s="3" t="str">
        <f>IF(AND('WBS Input'!A65="",'WBS Input'!B65=""),"",IF('WBS Input'!A65&lt;&gt;"","■ "&amp;'WBS Input'!A65,IF(LEN('WBS Input'!B65)-LEN(SUBSTITUTE('WBS Input'!B65,".",""))&lt;=1,"  ├─ "&amp;'WBS Input'!C65,"  │  ├─ "&amp;'WBS Input'!C65)))</f>
        <v/>
      </c>
      <c r="C65" s="3" t="str">
        <f>IF(AND('WBS Input'!A65="",'WBS Input'!B65=""),"",IF('WBS Input'!A65&lt;&gt;"","",'WBS Input'!D65))</f>
        <v/>
      </c>
      <c r="D65" s="31" t="str">
        <f>IF(AND('WBS Input'!A65="",'WBS Input'!B65=""),"",IF('WBS Input'!A65&lt;&gt;"","",IF('WBS Input'!E65="","",'WBS Input'!E65)))</f>
        <v/>
      </c>
      <c r="E65" s="31" t="str">
        <f>IF(AND('WBS Input'!A65="",'WBS Input'!B65=""),"",IF('WBS Input'!A65&lt;&gt;"","",IF('WBS Input'!J65="","",'WBS Input'!J65)))</f>
        <v/>
      </c>
    </row>
    <row r="66" spans="1:5" x14ac:dyDescent="0.3">
      <c r="A66" s="4" t="str">
        <f>IF(AND('WBS Input'!A66="",'WBS Input'!B66=""),"",IF('WBS Input'!A66&lt;&gt;"","★",'WBS Input'!B66))</f>
        <v/>
      </c>
      <c r="B66" s="3" t="str">
        <f>IF(AND('WBS Input'!A66="",'WBS Input'!B66=""),"",IF('WBS Input'!A66&lt;&gt;"","■ "&amp;'WBS Input'!A66,IF(LEN('WBS Input'!B66)-LEN(SUBSTITUTE('WBS Input'!B66,".",""))&lt;=1,"  ├─ "&amp;'WBS Input'!C66,"  │  ├─ "&amp;'WBS Input'!C66)))</f>
        <v/>
      </c>
      <c r="C66" s="3" t="str">
        <f>IF(AND('WBS Input'!A66="",'WBS Input'!B66=""),"",IF('WBS Input'!A66&lt;&gt;"","",'WBS Input'!D66))</f>
        <v/>
      </c>
      <c r="D66" s="31" t="str">
        <f>IF(AND('WBS Input'!A66="",'WBS Input'!B66=""),"",IF('WBS Input'!A66&lt;&gt;"","",IF('WBS Input'!E66="","",'WBS Input'!E66)))</f>
        <v/>
      </c>
      <c r="E66" s="31" t="str">
        <f>IF(AND('WBS Input'!A66="",'WBS Input'!B66=""),"",IF('WBS Input'!A66&lt;&gt;"","",IF('WBS Input'!J66="","",'WBS Input'!J66)))</f>
        <v/>
      </c>
    </row>
    <row r="67" spans="1:5" x14ac:dyDescent="0.3">
      <c r="A67" s="4" t="str">
        <f>IF(AND('WBS Input'!A67="",'WBS Input'!B67=""),"",IF('WBS Input'!A67&lt;&gt;"","★",'WBS Input'!B67))</f>
        <v/>
      </c>
      <c r="B67" s="3" t="str">
        <f>IF(AND('WBS Input'!A67="",'WBS Input'!B67=""),"",IF('WBS Input'!A67&lt;&gt;"","■ "&amp;'WBS Input'!A67,IF(LEN('WBS Input'!B67)-LEN(SUBSTITUTE('WBS Input'!B67,".",""))&lt;=1,"  ├─ "&amp;'WBS Input'!C67,"  │  ├─ "&amp;'WBS Input'!C67)))</f>
        <v/>
      </c>
      <c r="C67" s="3" t="str">
        <f>IF(AND('WBS Input'!A67="",'WBS Input'!B67=""),"",IF('WBS Input'!A67&lt;&gt;"","",'WBS Input'!D67))</f>
        <v/>
      </c>
      <c r="D67" s="31" t="str">
        <f>IF(AND('WBS Input'!A67="",'WBS Input'!B67=""),"",IF('WBS Input'!A67&lt;&gt;"","",IF('WBS Input'!E67="","",'WBS Input'!E67)))</f>
        <v/>
      </c>
      <c r="E67" s="31" t="str">
        <f>IF(AND('WBS Input'!A67="",'WBS Input'!B67=""),"",IF('WBS Input'!A67&lt;&gt;"","",IF('WBS Input'!J67="","",'WBS Input'!J67)))</f>
        <v/>
      </c>
    </row>
    <row r="68" spans="1:5" x14ac:dyDescent="0.3">
      <c r="A68" s="4" t="str">
        <f>IF(AND('WBS Input'!A68="",'WBS Input'!B68=""),"",IF('WBS Input'!A68&lt;&gt;"","★",'WBS Input'!B68))</f>
        <v/>
      </c>
      <c r="B68" s="3" t="str">
        <f>IF(AND('WBS Input'!A68="",'WBS Input'!B68=""),"",IF('WBS Input'!A68&lt;&gt;"","■ "&amp;'WBS Input'!A68,IF(LEN('WBS Input'!B68)-LEN(SUBSTITUTE('WBS Input'!B68,".",""))&lt;=1,"  ├─ "&amp;'WBS Input'!C68,"  │  ├─ "&amp;'WBS Input'!C68)))</f>
        <v/>
      </c>
      <c r="C68" s="3" t="str">
        <f>IF(AND('WBS Input'!A68="",'WBS Input'!B68=""),"",IF('WBS Input'!A68&lt;&gt;"","",'WBS Input'!D68))</f>
        <v/>
      </c>
      <c r="D68" s="31" t="str">
        <f>IF(AND('WBS Input'!A68="",'WBS Input'!B68=""),"",IF('WBS Input'!A68&lt;&gt;"","",IF('WBS Input'!E68="","",'WBS Input'!E68)))</f>
        <v/>
      </c>
      <c r="E68" s="31" t="str">
        <f>IF(AND('WBS Input'!A68="",'WBS Input'!B68=""),"",IF('WBS Input'!A68&lt;&gt;"","",IF('WBS Input'!J68="","",'WBS Input'!J68)))</f>
        <v/>
      </c>
    </row>
    <row r="69" spans="1:5" x14ac:dyDescent="0.3">
      <c r="A69" s="4" t="str">
        <f>IF(AND('WBS Input'!A69="",'WBS Input'!B69=""),"",IF('WBS Input'!A69&lt;&gt;"","★",'WBS Input'!B69))</f>
        <v/>
      </c>
      <c r="B69" s="3" t="str">
        <f>IF(AND('WBS Input'!A69="",'WBS Input'!B69=""),"",IF('WBS Input'!A69&lt;&gt;"","■ "&amp;'WBS Input'!A69,IF(LEN('WBS Input'!B69)-LEN(SUBSTITUTE('WBS Input'!B69,".",""))&lt;=1,"  ├─ "&amp;'WBS Input'!C69,"  │  ├─ "&amp;'WBS Input'!C69)))</f>
        <v/>
      </c>
      <c r="C69" s="3" t="str">
        <f>IF(AND('WBS Input'!A69="",'WBS Input'!B69=""),"",IF('WBS Input'!A69&lt;&gt;"","",'WBS Input'!D69))</f>
        <v/>
      </c>
      <c r="D69" s="31" t="str">
        <f>IF(AND('WBS Input'!A69="",'WBS Input'!B69=""),"",IF('WBS Input'!A69&lt;&gt;"","",IF('WBS Input'!E69="","",'WBS Input'!E69)))</f>
        <v/>
      </c>
      <c r="E69" s="31" t="str">
        <f>IF(AND('WBS Input'!A69="",'WBS Input'!B69=""),"",IF('WBS Input'!A69&lt;&gt;"","",IF('WBS Input'!J69="","",'WBS Input'!J69)))</f>
        <v/>
      </c>
    </row>
    <row r="70" spans="1:5" x14ac:dyDescent="0.3">
      <c r="A70" s="4" t="str">
        <f>IF(AND('WBS Input'!A70="",'WBS Input'!B70=""),"",IF('WBS Input'!A70&lt;&gt;"","★",'WBS Input'!B70))</f>
        <v/>
      </c>
      <c r="B70" s="3" t="str">
        <f>IF(AND('WBS Input'!A70="",'WBS Input'!B70=""),"",IF('WBS Input'!A70&lt;&gt;"","■ "&amp;'WBS Input'!A70,IF(LEN('WBS Input'!B70)-LEN(SUBSTITUTE('WBS Input'!B70,".",""))&lt;=1,"  ├─ "&amp;'WBS Input'!C70,"  │  ├─ "&amp;'WBS Input'!C70)))</f>
        <v/>
      </c>
      <c r="C70" s="3" t="str">
        <f>IF(AND('WBS Input'!A70="",'WBS Input'!B70=""),"",IF('WBS Input'!A70&lt;&gt;"","",'WBS Input'!D70))</f>
        <v/>
      </c>
      <c r="D70" s="31" t="str">
        <f>IF(AND('WBS Input'!A70="",'WBS Input'!B70=""),"",IF('WBS Input'!A70&lt;&gt;"","",IF('WBS Input'!E70="","",'WBS Input'!E70)))</f>
        <v/>
      </c>
      <c r="E70" s="31" t="str">
        <f>IF(AND('WBS Input'!A70="",'WBS Input'!B70=""),"",IF('WBS Input'!A70&lt;&gt;"","",IF('WBS Input'!J70="","",'WBS Input'!J70)))</f>
        <v/>
      </c>
    </row>
    <row r="71" spans="1:5" x14ac:dyDescent="0.3">
      <c r="A71" s="4" t="str">
        <f>IF(AND('WBS Input'!A71="",'WBS Input'!B71=""),"",IF('WBS Input'!A71&lt;&gt;"","★",'WBS Input'!B71))</f>
        <v/>
      </c>
      <c r="B71" s="3" t="str">
        <f>IF(AND('WBS Input'!A71="",'WBS Input'!B71=""),"",IF('WBS Input'!A71&lt;&gt;"","■ "&amp;'WBS Input'!A71,IF(LEN('WBS Input'!B71)-LEN(SUBSTITUTE('WBS Input'!B71,".",""))&lt;=1,"  ├─ "&amp;'WBS Input'!C71,"  │  ├─ "&amp;'WBS Input'!C71)))</f>
        <v/>
      </c>
      <c r="C71" s="3" t="str">
        <f>IF(AND('WBS Input'!A71="",'WBS Input'!B71=""),"",IF('WBS Input'!A71&lt;&gt;"","",'WBS Input'!D71))</f>
        <v/>
      </c>
      <c r="D71" s="31" t="str">
        <f>IF(AND('WBS Input'!A71="",'WBS Input'!B71=""),"",IF('WBS Input'!A71&lt;&gt;"","",IF('WBS Input'!E71="","",'WBS Input'!E71)))</f>
        <v/>
      </c>
      <c r="E71" s="31" t="str">
        <f>IF(AND('WBS Input'!A71="",'WBS Input'!B71=""),"",IF('WBS Input'!A71&lt;&gt;"","",IF('WBS Input'!J71="","",'WBS Input'!J71)))</f>
        <v/>
      </c>
    </row>
    <row r="72" spans="1:5" x14ac:dyDescent="0.3">
      <c r="A72" s="4" t="str">
        <f>IF(AND('WBS Input'!A72="",'WBS Input'!B72=""),"",IF('WBS Input'!A72&lt;&gt;"","★",'WBS Input'!B72))</f>
        <v/>
      </c>
      <c r="B72" s="3" t="str">
        <f>IF(AND('WBS Input'!A72="",'WBS Input'!B72=""),"",IF('WBS Input'!A72&lt;&gt;"","■ "&amp;'WBS Input'!A72,IF(LEN('WBS Input'!B72)-LEN(SUBSTITUTE('WBS Input'!B72,".",""))&lt;=1,"  ├─ "&amp;'WBS Input'!C72,"  │  ├─ "&amp;'WBS Input'!C72)))</f>
        <v/>
      </c>
      <c r="C72" s="3" t="str">
        <f>IF(AND('WBS Input'!A72="",'WBS Input'!B72=""),"",IF('WBS Input'!A72&lt;&gt;"","",'WBS Input'!D72))</f>
        <v/>
      </c>
      <c r="D72" s="31" t="str">
        <f>IF(AND('WBS Input'!A72="",'WBS Input'!B72=""),"",IF('WBS Input'!A72&lt;&gt;"","",IF('WBS Input'!E72="","",'WBS Input'!E72)))</f>
        <v/>
      </c>
      <c r="E72" s="31" t="str">
        <f>IF(AND('WBS Input'!A72="",'WBS Input'!B72=""),"",IF('WBS Input'!A72&lt;&gt;"","",IF('WBS Input'!J72="","",'WBS Input'!J72)))</f>
        <v/>
      </c>
    </row>
    <row r="73" spans="1:5" x14ac:dyDescent="0.3">
      <c r="A73" s="4" t="str">
        <f>IF(AND('WBS Input'!A73="",'WBS Input'!B73=""),"",IF('WBS Input'!A73&lt;&gt;"","★",'WBS Input'!B73))</f>
        <v/>
      </c>
      <c r="B73" s="3" t="str">
        <f>IF(AND('WBS Input'!A73="",'WBS Input'!B73=""),"",IF('WBS Input'!A73&lt;&gt;"","■ "&amp;'WBS Input'!A73,IF(LEN('WBS Input'!B73)-LEN(SUBSTITUTE('WBS Input'!B73,".",""))&lt;=1,"  ├─ "&amp;'WBS Input'!C73,"  │  ├─ "&amp;'WBS Input'!C73)))</f>
        <v/>
      </c>
      <c r="C73" s="3" t="str">
        <f>IF(AND('WBS Input'!A73="",'WBS Input'!B73=""),"",IF('WBS Input'!A73&lt;&gt;"","",'WBS Input'!D73))</f>
        <v/>
      </c>
      <c r="D73" s="31" t="str">
        <f>IF(AND('WBS Input'!A73="",'WBS Input'!B73=""),"",IF('WBS Input'!A73&lt;&gt;"","",IF('WBS Input'!E73="","",'WBS Input'!E73)))</f>
        <v/>
      </c>
      <c r="E73" s="31" t="str">
        <f>IF(AND('WBS Input'!A73="",'WBS Input'!B73=""),"",IF('WBS Input'!A73&lt;&gt;"","",IF('WBS Input'!J73="","",'WBS Input'!J73)))</f>
        <v/>
      </c>
    </row>
    <row r="74" spans="1:5" x14ac:dyDescent="0.3">
      <c r="A74" s="4" t="str">
        <f>IF(AND('WBS Input'!A74="",'WBS Input'!B74=""),"",IF('WBS Input'!A74&lt;&gt;"","★",'WBS Input'!B74))</f>
        <v/>
      </c>
      <c r="B74" s="3" t="str">
        <f>IF(AND('WBS Input'!A74="",'WBS Input'!B74=""),"",IF('WBS Input'!A74&lt;&gt;"","■ "&amp;'WBS Input'!A74,IF(LEN('WBS Input'!B74)-LEN(SUBSTITUTE('WBS Input'!B74,".",""))&lt;=1,"  ├─ "&amp;'WBS Input'!C74,"  │  ├─ "&amp;'WBS Input'!C74)))</f>
        <v/>
      </c>
      <c r="C74" s="3" t="str">
        <f>IF(AND('WBS Input'!A74="",'WBS Input'!B74=""),"",IF('WBS Input'!A74&lt;&gt;"","",'WBS Input'!D74))</f>
        <v/>
      </c>
      <c r="D74" s="31" t="str">
        <f>IF(AND('WBS Input'!A74="",'WBS Input'!B74=""),"",IF('WBS Input'!A74&lt;&gt;"","",IF('WBS Input'!E74="","",'WBS Input'!E74)))</f>
        <v/>
      </c>
      <c r="E74" s="31" t="str">
        <f>IF(AND('WBS Input'!A74="",'WBS Input'!B74=""),"",IF('WBS Input'!A74&lt;&gt;"","",IF('WBS Input'!J74="","",'WBS Input'!J74)))</f>
        <v/>
      </c>
    </row>
    <row r="75" spans="1:5" x14ac:dyDescent="0.3">
      <c r="A75" s="4" t="str">
        <f>IF(AND('WBS Input'!A75="",'WBS Input'!B75=""),"",IF('WBS Input'!A75&lt;&gt;"","★",'WBS Input'!B75))</f>
        <v/>
      </c>
      <c r="B75" s="3" t="str">
        <f>IF(AND('WBS Input'!A75="",'WBS Input'!B75=""),"",IF('WBS Input'!A75&lt;&gt;"","■ "&amp;'WBS Input'!A75,IF(LEN('WBS Input'!B75)-LEN(SUBSTITUTE('WBS Input'!B75,".",""))&lt;=1,"  ├─ "&amp;'WBS Input'!C75,"  │  ├─ "&amp;'WBS Input'!C75)))</f>
        <v/>
      </c>
      <c r="C75" s="3" t="str">
        <f>IF(AND('WBS Input'!A75="",'WBS Input'!B75=""),"",IF('WBS Input'!A75&lt;&gt;"","",'WBS Input'!D75))</f>
        <v/>
      </c>
      <c r="D75" s="31" t="str">
        <f>IF(AND('WBS Input'!A75="",'WBS Input'!B75=""),"",IF('WBS Input'!A75&lt;&gt;"","",IF('WBS Input'!E75="","",'WBS Input'!E75)))</f>
        <v/>
      </c>
      <c r="E75" s="31" t="str">
        <f>IF(AND('WBS Input'!A75="",'WBS Input'!B75=""),"",IF('WBS Input'!A75&lt;&gt;"","",IF('WBS Input'!J75="","",'WBS Input'!J75)))</f>
        <v/>
      </c>
    </row>
    <row r="76" spans="1:5" x14ac:dyDescent="0.3">
      <c r="A76" s="4" t="str">
        <f>IF(AND('WBS Input'!A76="",'WBS Input'!B76=""),"",IF('WBS Input'!A76&lt;&gt;"","★",'WBS Input'!B76))</f>
        <v/>
      </c>
      <c r="B76" s="3" t="str">
        <f>IF(AND('WBS Input'!A76="",'WBS Input'!B76=""),"",IF('WBS Input'!A76&lt;&gt;"","■ "&amp;'WBS Input'!A76,IF(LEN('WBS Input'!B76)-LEN(SUBSTITUTE('WBS Input'!B76,".",""))&lt;=1,"  ├─ "&amp;'WBS Input'!C76,"  │  ├─ "&amp;'WBS Input'!C76)))</f>
        <v/>
      </c>
      <c r="C76" s="3" t="str">
        <f>IF(AND('WBS Input'!A76="",'WBS Input'!B76=""),"",IF('WBS Input'!A76&lt;&gt;"","",'WBS Input'!D76))</f>
        <v/>
      </c>
      <c r="D76" s="31" t="str">
        <f>IF(AND('WBS Input'!A76="",'WBS Input'!B76=""),"",IF('WBS Input'!A76&lt;&gt;"","",IF('WBS Input'!E76="","",'WBS Input'!E76)))</f>
        <v/>
      </c>
      <c r="E76" s="31" t="str">
        <f>IF(AND('WBS Input'!A76="",'WBS Input'!B76=""),"",IF('WBS Input'!A76&lt;&gt;"","",IF('WBS Input'!J76="","",'WBS Input'!J76)))</f>
        <v/>
      </c>
    </row>
    <row r="77" spans="1:5" x14ac:dyDescent="0.3">
      <c r="A77" s="4" t="str">
        <f>IF(AND('WBS Input'!A77="",'WBS Input'!B77=""),"",IF('WBS Input'!A77&lt;&gt;"","★",'WBS Input'!B77))</f>
        <v/>
      </c>
      <c r="B77" s="3" t="str">
        <f>IF(AND('WBS Input'!A77="",'WBS Input'!B77=""),"",IF('WBS Input'!A77&lt;&gt;"","■ "&amp;'WBS Input'!A77,IF(LEN('WBS Input'!B77)-LEN(SUBSTITUTE('WBS Input'!B77,".",""))&lt;=1,"  ├─ "&amp;'WBS Input'!C77,"  │  ├─ "&amp;'WBS Input'!C77)))</f>
        <v/>
      </c>
      <c r="C77" s="3" t="str">
        <f>IF(AND('WBS Input'!A77="",'WBS Input'!B77=""),"",IF('WBS Input'!A77&lt;&gt;"","",'WBS Input'!D77))</f>
        <v/>
      </c>
      <c r="D77" s="31" t="str">
        <f>IF(AND('WBS Input'!A77="",'WBS Input'!B77=""),"",IF('WBS Input'!A77&lt;&gt;"","",IF('WBS Input'!E77="","",'WBS Input'!E77)))</f>
        <v/>
      </c>
      <c r="E77" s="31" t="str">
        <f>IF(AND('WBS Input'!A77="",'WBS Input'!B77=""),"",IF('WBS Input'!A77&lt;&gt;"","",IF('WBS Input'!J77="","",'WBS Input'!J77)))</f>
        <v/>
      </c>
    </row>
    <row r="78" spans="1:5" x14ac:dyDescent="0.3">
      <c r="A78" s="4" t="str">
        <f>IF(AND('WBS Input'!A78="",'WBS Input'!B78=""),"",IF('WBS Input'!A78&lt;&gt;"","★",'WBS Input'!B78))</f>
        <v/>
      </c>
      <c r="B78" s="3" t="str">
        <f>IF(AND('WBS Input'!A78="",'WBS Input'!B78=""),"",IF('WBS Input'!A78&lt;&gt;"","■ "&amp;'WBS Input'!A78,IF(LEN('WBS Input'!B78)-LEN(SUBSTITUTE('WBS Input'!B78,".",""))&lt;=1,"  ├─ "&amp;'WBS Input'!C78,"  │  ├─ "&amp;'WBS Input'!C78)))</f>
        <v/>
      </c>
      <c r="C78" s="3" t="str">
        <f>IF(AND('WBS Input'!A78="",'WBS Input'!B78=""),"",IF('WBS Input'!A78&lt;&gt;"","",'WBS Input'!D78))</f>
        <v/>
      </c>
      <c r="D78" s="31" t="str">
        <f>IF(AND('WBS Input'!A78="",'WBS Input'!B78=""),"",IF('WBS Input'!A78&lt;&gt;"","",IF('WBS Input'!E78="","",'WBS Input'!E78)))</f>
        <v/>
      </c>
      <c r="E78" s="31" t="str">
        <f>IF(AND('WBS Input'!A78="",'WBS Input'!B78=""),"",IF('WBS Input'!A78&lt;&gt;"","",IF('WBS Input'!J78="","",'WBS Input'!J78)))</f>
        <v/>
      </c>
    </row>
    <row r="79" spans="1:5" x14ac:dyDescent="0.3">
      <c r="A79" s="4" t="str">
        <f>IF(AND('WBS Input'!A79="",'WBS Input'!B79=""),"",IF('WBS Input'!A79&lt;&gt;"","★",'WBS Input'!B79))</f>
        <v/>
      </c>
      <c r="B79" s="3" t="str">
        <f>IF(AND('WBS Input'!A79="",'WBS Input'!B79=""),"",IF('WBS Input'!A79&lt;&gt;"","■ "&amp;'WBS Input'!A79,IF(LEN('WBS Input'!B79)-LEN(SUBSTITUTE('WBS Input'!B79,".",""))&lt;=1,"  ├─ "&amp;'WBS Input'!C79,"  │  ├─ "&amp;'WBS Input'!C79)))</f>
        <v/>
      </c>
      <c r="C79" s="3" t="str">
        <f>IF(AND('WBS Input'!A79="",'WBS Input'!B79=""),"",IF('WBS Input'!A79&lt;&gt;"","",'WBS Input'!D79))</f>
        <v/>
      </c>
      <c r="D79" s="31" t="str">
        <f>IF(AND('WBS Input'!A79="",'WBS Input'!B79=""),"",IF('WBS Input'!A79&lt;&gt;"","",IF('WBS Input'!E79="","",'WBS Input'!E79)))</f>
        <v/>
      </c>
      <c r="E79" s="31" t="str">
        <f>IF(AND('WBS Input'!A79="",'WBS Input'!B79=""),"",IF('WBS Input'!A79&lt;&gt;"","",IF('WBS Input'!J79="","",'WBS Input'!J79)))</f>
        <v/>
      </c>
    </row>
    <row r="80" spans="1:5" x14ac:dyDescent="0.3">
      <c r="A80" s="4" t="str">
        <f>IF(AND('WBS Input'!A80="",'WBS Input'!B80=""),"",IF('WBS Input'!A80&lt;&gt;"","★",'WBS Input'!B80))</f>
        <v/>
      </c>
      <c r="B80" s="3" t="str">
        <f>IF(AND('WBS Input'!A80="",'WBS Input'!B80=""),"",IF('WBS Input'!A80&lt;&gt;"","■ "&amp;'WBS Input'!A80,IF(LEN('WBS Input'!B80)-LEN(SUBSTITUTE('WBS Input'!B80,".",""))&lt;=1,"  ├─ "&amp;'WBS Input'!C80,"  │  ├─ "&amp;'WBS Input'!C80)))</f>
        <v/>
      </c>
      <c r="C80" s="3" t="str">
        <f>IF(AND('WBS Input'!A80="",'WBS Input'!B80=""),"",IF('WBS Input'!A80&lt;&gt;"","",'WBS Input'!D80))</f>
        <v/>
      </c>
      <c r="D80" s="31" t="str">
        <f>IF(AND('WBS Input'!A80="",'WBS Input'!B80=""),"",IF('WBS Input'!A80&lt;&gt;"","",IF('WBS Input'!E80="","",'WBS Input'!E80)))</f>
        <v/>
      </c>
      <c r="E80" s="31" t="str">
        <f>IF(AND('WBS Input'!A80="",'WBS Input'!B80=""),"",IF('WBS Input'!A80&lt;&gt;"","",IF('WBS Input'!J80="","",'WBS Input'!J80)))</f>
        <v/>
      </c>
    </row>
    <row r="81" spans="1:5" x14ac:dyDescent="0.3">
      <c r="A81" s="4" t="str">
        <f>IF(AND('WBS Input'!A81="",'WBS Input'!B81=""),"",IF('WBS Input'!A81&lt;&gt;"","★",'WBS Input'!B81))</f>
        <v/>
      </c>
      <c r="B81" s="3" t="str">
        <f>IF(AND('WBS Input'!A81="",'WBS Input'!B81=""),"",IF('WBS Input'!A81&lt;&gt;"","■ "&amp;'WBS Input'!A81,IF(LEN('WBS Input'!B81)-LEN(SUBSTITUTE('WBS Input'!B81,".",""))&lt;=1,"  ├─ "&amp;'WBS Input'!C81,"  │  ├─ "&amp;'WBS Input'!C81)))</f>
        <v/>
      </c>
      <c r="C81" s="3" t="str">
        <f>IF(AND('WBS Input'!A81="",'WBS Input'!B81=""),"",IF('WBS Input'!A81&lt;&gt;"","",'WBS Input'!D81))</f>
        <v/>
      </c>
      <c r="D81" s="31" t="str">
        <f>IF(AND('WBS Input'!A81="",'WBS Input'!B81=""),"",IF('WBS Input'!A81&lt;&gt;"","",IF('WBS Input'!E81="","",'WBS Input'!E81)))</f>
        <v/>
      </c>
      <c r="E81" s="31" t="str">
        <f>IF(AND('WBS Input'!A81="",'WBS Input'!B81=""),"",IF('WBS Input'!A81&lt;&gt;"","",IF('WBS Input'!J81="","",'WBS Input'!J81)))</f>
        <v/>
      </c>
    </row>
    <row r="82" spans="1:5" x14ac:dyDescent="0.3">
      <c r="A82" s="4" t="str">
        <f>IF(AND('WBS Input'!A82="",'WBS Input'!B82=""),"",IF('WBS Input'!A82&lt;&gt;"","★",'WBS Input'!B82))</f>
        <v/>
      </c>
      <c r="B82" s="3" t="str">
        <f>IF(AND('WBS Input'!A82="",'WBS Input'!B82=""),"",IF('WBS Input'!A82&lt;&gt;"","■ "&amp;'WBS Input'!A82,IF(LEN('WBS Input'!B82)-LEN(SUBSTITUTE('WBS Input'!B82,".",""))&lt;=1,"  ├─ "&amp;'WBS Input'!C82,"  │  ├─ "&amp;'WBS Input'!C82)))</f>
        <v/>
      </c>
      <c r="C82" s="3" t="str">
        <f>IF(AND('WBS Input'!A82="",'WBS Input'!B82=""),"",IF('WBS Input'!A82&lt;&gt;"","",'WBS Input'!D82))</f>
        <v/>
      </c>
      <c r="D82" s="31" t="str">
        <f>IF(AND('WBS Input'!A82="",'WBS Input'!B82=""),"",IF('WBS Input'!A82&lt;&gt;"","",IF('WBS Input'!E82="","",'WBS Input'!E82)))</f>
        <v/>
      </c>
      <c r="E82" s="31" t="str">
        <f>IF(AND('WBS Input'!A82="",'WBS Input'!B82=""),"",IF('WBS Input'!A82&lt;&gt;"","",IF('WBS Input'!J82="","",'WBS Input'!J82)))</f>
        <v/>
      </c>
    </row>
    <row r="83" spans="1:5" x14ac:dyDescent="0.3">
      <c r="A83" s="4" t="str">
        <f>IF(AND('WBS Input'!A83="",'WBS Input'!B83=""),"",IF('WBS Input'!A83&lt;&gt;"","★",'WBS Input'!B83))</f>
        <v/>
      </c>
      <c r="B83" s="3" t="str">
        <f>IF(AND('WBS Input'!A83="",'WBS Input'!B83=""),"",IF('WBS Input'!A83&lt;&gt;"","■ "&amp;'WBS Input'!A83,IF(LEN('WBS Input'!B83)-LEN(SUBSTITUTE('WBS Input'!B83,".",""))&lt;=1,"  ├─ "&amp;'WBS Input'!C83,"  │  ├─ "&amp;'WBS Input'!C83)))</f>
        <v/>
      </c>
      <c r="C83" s="3" t="str">
        <f>IF(AND('WBS Input'!A83="",'WBS Input'!B83=""),"",IF('WBS Input'!A83&lt;&gt;"","",'WBS Input'!D83))</f>
        <v/>
      </c>
      <c r="D83" s="31" t="str">
        <f>IF(AND('WBS Input'!A83="",'WBS Input'!B83=""),"",IF('WBS Input'!A83&lt;&gt;"","",IF('WBS Input'!E83="","",'WBS Input'!E83)))</f>
        <v/>
      </c>
      <c r="E83" s="31" t="str">
        <f>IF(AND('WBS Input'!A83="",'WBS Input'!B83=""),"",IF('WBS Input'!A83&lt;&gt;"","",IF('WBS Input'!J83="","",'WBS Input'!J83)))</f>
        <v/>
      </c>
    </row>
    <row r="84" spans="1:5" x14ac:dyDescent="0.3">
      <c r="A84" s="4" t="str">
        <f>IF(AND('WBS Input'!A84="",'WBS Input'!B84=""),"",IF('WBS Input'!A84&lt;&gt;"","★",'WBS Input'!B84))</f>
        <v/>
      </c>
      <c r="B84" s="3" t="str">
        <f>IF(AND('WBS Input'!A84="",'WBS Input'!B84=""),"",IF('WBS Input'!A84&lt;&gt;"","■ "&amp;'WBS Input'!A84,IF(LEN('WBS Input'!B84)-LEN(SUBSTITUTE('WBS Input'!B84,".",""))&lt;=1,"  ├─ "&amp;'WBS Input'!C84,"  │  ├─ "&amp;'WBS Input'!C84)))</f>
        <v/>
      </c>
      <c r="C84" s="3" t="str">
        <f>IF(AND('WBS Input'!A84="",'WBS Input'!B84=""),"",IF('WBS Input'!A84&lt;&gt;"","",'WBS Input'!D84))</f>
        <v/>
      </c>
      <c r="D84" s="31" t="str">
        <f>IF(AND('WBS Input'!A84="",'WBS Input'!B84=""),"",IF('WBS Input'!A84&lt;&gt;"","",IF('WBS Input'!E84="","",'WBS Input'!E84)))</f>
        <v/>
      </c>
      <c r="E84" s="31" t="str">
        <f>IF(AND('WBS Input'!A84="",'WBS Input'!B84=""),"",IF('WBS Input'!A84&lt;&gt;"","",IF('WBS Input'!J84="","",'WBS Input'!J84)))</f>
        <v/>
      </c>
    </row>
    <row r="85" spans="1:5" x14ac:dyDescent="0.3">
      <c r="A85" s="4" t="str">
        <f>IF(AND('WBS Input'!A85="",'WBS Input'!B85=""),"",IF('WBS Input'!A85&lt;&gt;"","★",'WBS Input'!B85))</f>
        <v/>
      </c>
      <c r="B85" s="3" t="str">
        <f>IF(AND('WBS Input'!A85="",'WBS Input'!B85=""),"",IF('WBS Input'!A85&lt;&gt;"","■ "&amp;'WBS Input'!A85,IF(LEN('WBS Input'!B85)-LEN(SUBSTITUTE('WBS Input'!B85,".",""))&lt;=1,"  ├─ "&amp;'WBS Input'!C85,"  │  ├─ "&amp;'WBS Input'!C85)))</f>
        <v/>
      </c>
      <c r="C85" s="3" t="str">
        <f>IF(AND('WBS Input'!A85="",'WBS Input'!B85=""),"",IF('WBS Input'!A85&lt;&gt;"","",'WBS Input'!D85))</f>
        <v/>
      </c>
      <c r="D85" s="31" t="str">
        <f>IF(AND('WBS Input'!A85="",'WBS Input'!B85=""),"",IF('WBS Input'!A85&lt;&gt;"","",IF('WBS Input'!E85="","",'WBS Input'!E85)))</f>
        <v/>
      </c>
      <c r="E85" s="31" t="str">
        <f>IF(AND('WBS Input'!A85="",'WBS Input'!B85=""),"",IF('WBS Input'!A85&lt;&gt;"","",IF('WBS Input'!J85="","",'WBS Input'!J85)))</f>
        <v/>
      </c>
    </row>
    <row r="86" spans="1:5" x14ac:dyDescent="0.3">
      <c r="A86" s="4" t="str">
        <f>IF(AND('WBS Input'!A86="",'WBS Input'!B86=""),"",IF('WBS Input'!A86&lt;&gt;"","★",'WBS Input'!B86))</f>
        <v/>
      </c>
      <c r="B86" s="3" t="str">
        <f>IF(AND('WBS Input'!A86="",'WBS Input'!B86=""),"",IF('WBS Input'!A86&lt;&gt;"","■ "&amp;'WBS Input'!A86,IF(LEN('WBS Input'!B86)-LEN(SUBSTITUTE('WBS Input'!B86,".",""))&lt;=1,"  ├─ "&amp;'WBS Input'!C86,"  │  ├─ "&amp;'WBS Input'!C86)))</f>
        <v/>
      </c>
      <c r="C86" s="3" t="str">
        <f>IF(AND('WBS Input'!A86="",'WBS Input'!B86=""),"",IF('WBS Input'!A86&lt;&gt;"","",'WBS Input'!D86))</f>
        <v/>
      </c>
      <c r="D86" s="31" t="str">
        <f>IF(AND('WBS Input'!A86="",'WBS Input'!B86=""),"",IF('WBS Input'!A86&lt;&gt;"","",IF('WBS Input'!E86="","",'WBS Input'!E86)))</f>
        <v/>
      </c>
      <c r="E86" s="31" t="str">
        <f>IF(AND('WBS Input'!A86="",'WBS Input'!B86=""),"",IF('WBS Input'!A86&lt;&gt;"","",IF('WBS Input'!J86="","",'WBS Input'!J86)))</f>
        <v/>
      </c>
    </row>
    <row r="87" spans="1:5" x14ac:dyDescent="0.3">
      <c r="A87" s="4" t="str">
        <f>IF(AND('WBS Input'!A87="",'WBS Input'!B87=""),"",IF('WBS Input'!A87&lt;&gt;"","★",'WBS Input'!B87))</f>
        <v/>
      </c>
      <c r="B87" s="3" t="str">
        <f>IF(AND('WBS Input'!A87="",'WBS Input'!B87=""),"",IF('WBS Input'!A87&lt;&gt;"","■ "&amp;'WBS Input'!A87,IF(LEN('WBS Input'!B87)-LEN(SUBSTITUTE('WBS Input'!B87,".",""))&lt;=1,"  ├─ "&amp;'WBS Input'!C87,"  │  ├─ "&amp;'WBS Input'!C87)))</f>
        <v/>
      </c>
      <c r="C87" s="3" t="str">
        <f>IF(AND('WBS Input'!A87="",'WBS Input'!B87=""),"",IF('WBS Input'!A87&lt;&gt;"","",'WBS Input'!D87))</f>
        <v/>
      </c>
      <c r="D87" s="31" t="str">
        <f>IF(AND('WBS Input'!A87="",'WBS Input'!B87=""),"",IF('WBS Input'!A87&lt;&gt;"","",IF('WBS Input'!E87="","",'WBS Input'!E87)))</f>
        <v/>
      </c>
      <c r="E87" s="31" t="str">
        <f>IF(AND('WBS Input'!A87="",'WBS Input'!B87=""),"",IF('WBS Input'!A87&lt;&gt;"","",IF('WBS Input'!J87="","",'WBS Input'!J87)))</f>
        <v/>
      </c>
    </row>
    <row r="88" spans="1:5" x14ac:dyDescent="0.3">
      <c r="A88" s="4" t="str">
        <f>IF(AND('WBS Input'!A88="",'WBS Input'!B88=""),"",IF('WBS Input'!A88&lt;&gt;"","★",'WBS Input'!B88))</f>
        <v/>
      </c>
      <c r="B88" s="3" t="str">
        <f>IF(AND('WBS Input'!A88="",'WBS Input'!B88=""),"",IF('WBS Input'!A88&lt;&gt;"","■ "&amp;'WBS Input'!A88,IF(LEN('WBS Input'!B88)-LEN(SUBSTITUTE('WBS Input'!B88,".",""))&lt;=1,"  ├─ "&amp;'WBS Input'!C88,"  │  ├─ "&amp;'WBS Input'!C88)))</f>
        <v/>
      </c>
      <c r="C88" s="3" t="str">
        <f>IF(AND('WBS Input'!A88="",'WBS Input'!B88=""),"",IF('WBS Input'!A88&lt;&gt;"","",'WBS Input'!D88))</f>
        <v/>
      </c>
      <c r="D88" s="31" t="str">
        <f>IF(AND('WBS Input'!A88="",'WBS Input'!B88=""),"",IF('WBS Input'!A88&lt;&gt;"","",IF('WBS Input'!E88="","",'WBS Input'!E88)))</f>
        <v/>
      </c>
      <c r="E88" s="31" t="str">
        <f>IF(AND('WBS Input'!A88="",'WBS Input'!B88=""),"",IF('WBS Input'!A88&lt;&gt;"","",IF('WBS Input'!J88="","",'WBS Input'!J88)))</f>
        <v/>
      </c>
    </row>
    <row r="89" spans="1:5" x14ac:dyDescent="0.3">
      <c r="A89" s="4" t="str">
        <f>IF(AND('WBS Input'!A89="",'WBS Input'!B89=""),"",IF('WBS Input'!A89&lt;&gt;"","★",'WBS Input'!B89))</f>
        <v/>
      </c>
      <c r="B89" s="3" t="str">
        <f>IF(AND('WBS Input'!A89="",'WBS Input'!B89=""),"",IF('WBS Input'!A89&lt;&gt;"","■ "&amp;'WBS Input'!A89,IF(LEN('WBS Input'!B89)-LEN(SUBSTITUTE('WBS Input'!B89,".",""))&lt;=1,"  ├─ "&amp;'WBS Input'!C89,"  │  ├─ "&amp;'WBS Input'!C89)))</f>
        <v/>
      </c>
      <c r="C89" s="3" t="str">
        <f>IF(AND('WBS Input'!A89="",'WBS Input'!B89=""),"",IF('WBS Input'!A89&lt;&gt;"","",'WBS Input'!D89))</f>
        <v/>
      </c>
      <c r="D89" s="31" t="str">
        <f>IF(AND('WBS Input'!A89="",'WBS Input'!B89=""),"",IF('WBS Input'!A89&lt;&gt;"","",IF('WBS Input'!E89="","",'WBS Input'!E89)))</f>
        <v/>
      </c>
      <c r="E89" s="31" t="str">
        <f>IF(AND('WBS Input'!A89="",'WBS Input'!B89=""),"",IF('WBS Input'!A89&lt;&gt;"","",IF('WBS Input'!J89="","",'WBS Input'!J89)))</f>
        <v/>
      </c>
    </row>
    <row r="90" spans="1:5" x14ac:dyDescent="0.3">
      <c r="A90" s="4" t="str">
        <f>IF(AND('WBS Input'!A90="",'WBS Input'!B90=""),"",IF('WBS Input'!A90&lt;&gt;"","★",'WBS Input'!B90))</f>
        <v/>
      </c>
      <c r="B90" s="3" t="str">
        <f>IF(AND('WBS Input'!A90="",'WBS Input'!B90=""),"",IF('WBS Input'!A90&lt;&gt;"","■ "&amp;'WBS Input'!A90,IF(LEN('WBS Input'!B90)-LEN(SUBSTITUTE('WBS Input'!B90,".",""))&lt;=1,"  ├─ "&amp;'WBS Input'!C90,"  │  ├─ "&amp;'WBS Input'!C90)))</f>
        <v/>
      </c>
      <c r="C90" s="3" t="str">
        <f>IF(AND('WBS Input'!A90="",'WBS Input'!B90=""),"",IF('WBS Input'!A90&lt;&gt;"","",'WBS Input'!D90))</f>
        <v/>
      </c>
      <c r="D90" s="31" t="str">
        <f>IF(AND('WBS Input'!A90="",'WBS Input'!B90=""),"",IF('WBS Input'!A90&lt;&gt;"","",IF('WBS Input'!E90="","",'WBS Input'!E90)))</f>
        <v/>
      </c>
      <c r="E90" s="31" t="str">
        <f>IF(AND('WBS Input'!A90="",'WBS Input'!B90=""),"",IF('WBS Input'!A90&lt;&gt;"","",IF('WBS Input'!J90="","",'WBS Input'!J90)))</f>
        <v/>
      </c>
    </row>
    <row r="91" spans="1:5" x14ac:dyDescent="0.3">
      <c r="A91" s="4" t="str">
        <f>IF(AND('WBS Input'!A91="",'WBS Input'!B91=""),"",IF('WBS Input'!A91&lt;&gt;"","★",'WBS Input'!B91))</f>
        <v/>
      </c>
      <c r="B91" s="3" t="str">
        <f>IF(AND('WBS Input'!A91="",'WBS Input'!B91=""),"",IF('WBS Input'!A91&lt;&gt;"","■ "&amp;'WBS Input'!A91,IF(LEN('WBS Input'!B91)-LEN(SUBSTITUTE('WBS Input'!B91,".",""))&lt;=1,"  ├─ "&amp;'WBS Input'!C91,"  │  ├─ "&amp;'WBS Input'!C91)))</f>
        <v/>
      </c>
      <c r="C91" s="3" t="str">
        <f>IF(AND('WBS Input'!A91="",'WBS Input'!B91=""),"",IF('WBS Input'!A91&lt;&gt;"","",'WBS Input'!D91))</f>
        <v/>
      </c>
      <c r="D91" s="31" t="str">
        <f>IF(AND('WBS Input'!A91="",'WBS Input'!B91=""),"",IF('WBS Input'!A91&lt;&gt;"","",IF('WBS Input'!E91="","",'WBS Input'!E91)))</f>
        <v/>
      </c>
      <c r="E91" s="31" t="str">
        <f>IF(AND('WBS Input'!A91="",'WBS Input'!B91=""),"",IF('WBS Input'!A91&lt;&gt;"","",IF('WBS Input'!J91="","",'WBS Input'!J91)))</f>
        <v/>
      </c>
    </row>
    <row r="92" spans="1:5" x14ac:dyDescent="0.3">
      <c r="A92" s="4" t="str">
        <f>IF(AND('WBS Input'!A92="",'WBS Input'!B92=""),"",IF('WBS Input'!A92&lt;&gt;"","★",'WBS Input'!B92))</f>
        <v/>
      </c>
      <c r="B92" s="3" t="str">
        <f>IF(AND('WBS Input'!A92="",'WBS Input'!B92=""),"",IF('WBS Input'!A92&lt;&gt;"","■ "&amp;'WBS Input'!A92,IF(LEN('WBS Input'!B92)-LEN(SUBSTITUTE('WBS Input'!B92,".",""))&lt;=1,"  ├─ "&amp;'WBS Input'!C92,"  │  ├─ "&amp;'WBS Input'!C92)))</f>
        <v/>
      </c>
      <c r="C92" s="3" t="str">
        <f>IF(AND('WBS Input'!A92="",'WBS Input'!B92=""),"",IF('WBS Input'!A92&lt;&gt;"","",'WBS Input'!D92))</f>
        <v/>
      </c>
      <c r="D92" s="31" t="str">
        <f>IF(AND('WBS Input'!A92="",'WBS Input'!B92=""),"",IF('WBS Input'!A92&lt;&gt;"","",IF('WBS Input'!E92="","",'WBS Input'!E92)))</f>
        <v/>
      </c>
      <c r="E92" s="31" t="str">
        <f>IF(AND('WBS Input'!A92="",'WBS Input'!B92=""),"",IF('WBS Input'!A92&lt;&gt;"","",IF('WBS Input'!J92="","",'WBS Input'!J92)))</f>
        <v/>
      </c>
    </row>
    <row r="93" spans="1:5" x14ac:dyDescent="0.3">
      <c r="A93" s="4" t="str">
        <f>IF(AND('WBS Input'!A93="",'WBS Input'!B93=""),"",IF('WBS Input'!A93&lt;&gt;"","★",'WBS Input'!B93))</f>
        <v/>
      </c>
      <c r="B93" s="3" t="str">
        <f>IF(AND('WBS Input'!A93="",'WBS Input'!B93=""),"",IF('WBS Input'!A93&lt;&gt;"","■ "&amp;'WBS Input'!A93,IF(LEN('WBS Input'!B93)-LEN(SUBSTITUTE('WBS Input'!B93,".",""))&lt;=1,"  ├─ "&amp;'WBS Input'!C93,"  │  ├─ "&amp;'WBS Input'!C93)))</f>
        <v/>
      </c>
      <c r="C93" s="3" t="str">
        <f>IF(AND('WBS Input'!A93="",'WBS Input'!B93=""),"",IF('WBS Input'!A93&lt;&gt;"","",'WBS Input'!D93))</f>
        <v/>
      </c>
      <c r="D93" s="31" t="str">
        <f>IF(AND('WBS Input'!A93="",'WBS Input'!B93=""),"",IF('WBS Input'!A93&lt;&gt;"","",IF('WBS Input'!E93="","",'WBS Input'!E93)))</f>
        <v/>
      </c>
      <c r="E93" s="31" t="str">
        <f>IF(AND('WBS Input'!A93="",'WBS Input'!B93=""),"",IF('WBS Input'!A93&lt;&gt;"","",IF('WBS Input'!J93="","",'WBS Input'!J93)))</f>
        <v/>
      </c>
    </row>
    <row r="94" spans="1:5" x14ac:dyDescent="0.3">
      <c r="A94" s="4" t="str">
        <f>IF(AND('WBS Input'!A94="",'WBS Input'!B94=""),"",IF('WBS Input'!A94&lt;&gt;"","★",'WBS Input'!B94))</f>
        <v/>
      </c>
      <c r="B94" s="3" t="str">
        <f>IF(AND('WBS Input'!A94="",'WBS Input'!B94=""),"",IF('WBS Input'!A94&lt;&gt;"","■ "&amp;'WBS Input'!A94,IF(LEN('WBS Input'!B94)-LEN(SUBSTITUTE('WBS Input'!B94,".",""))&lt;=1,"  ├─ "&amp;'WBS Input'!C94,"  │  ├─ "&amp;'WBS Input'!C94)))</f>
        <v/>
      </c>
      <c r="C94" s="3" t="str">
        <f>IF(AND('WBS Input'!A94="",'WBS Input'!B94=""),"",IF('WBS Input'!A94&lt;&gt;"","",'WBS Input'!D94))</f>
        <v/>
      </c>
      <c r="D94" s="31" t="str">
        <f>IF(AND('WBS Input'!A94="",'WBS Input'!B94=""),"",IF('WBS Input'!A94&lt;&gt;"","",IF('WBS Input'!E94="","",'WBS Input'!E94)))</f>
        <v/>
      </c>
      <c r="E94" s="31" t="str">
        <f>IF(AND('WBS Input'!A94="",'WBS Input'!B94=""),"",IF('WBS Input'!A94&lt;&gt;"","",IF('WBS Input'!J94="","",'WBS Input'!J94)))</f>
        <v/>
      </c>
    </row>
    <row r="95" spans="1:5" x14ac:dyDescent="0.3">
      <c r="A95" s="4" t="str">
        <f>IF(AND('WBS Input'!A95="",'WBS Input'!B95=""),"",IF('WBS Input'!A95&lt;&gt;"","★",'WBS Input'!B95))</f>
        <v/>
      </c>
      <c r="B95" s="3" t="str">
        <f>IF(AND('WBS Input'!A95="",'WBS Input'!B95=""),"",IF('WBS Input'!A95&lt;&gt;"","■ "&amp;'WBS Input'!A95,IF(LEN('WBS Input'!B95)-LEN(SUBSTITUTE('WBS Input'!B95,".",""))&lt;=1,"  ├─ "&amp;'WBS Input'!C95,"  │  ├─ "&amp;'WBS Input'!C95)))</f>
        <v/>
      </c>
      <c r="C95" s="3" t="str">
        <f>IF(AND('WBS Input'!A95="",'WBS Input'!B95=""),"",IF('WBS Input'!A95&lt;&gt;"","",'WBS Input'!D95))</f>
        <v/>
      </c>
      <c r="D95" s="31" t="str">
        <f>IF(AND('WBS Input'!A95="",'WBS Input'!B95=""),"",IF('WBS Input'!A95&lt;&gt;"","",IF('WBS Input'!E95="","",'WBS Input'!E95)))</f>
        <v/>
      </c>
      <c r="E95" s="31" t="str">
        <f>IF(AND('WBS Input'!A95="",'WBS Input'!B95=""),"",IF('WBS Input'!A95&lt;&gt;"","",IF('WBS Input'!J95="","",'WBS Input'!J95)))</f>
        <v/>
      </c>
    </row>
    <row r="96" spans="1:5" x14ac:dyDescent="0.3">
      <c r="A96" s="4" t="str">
        <f>IF(AND('WBS Input'!A96="",'WBS Input'!B96=""),"",IF('WBS Input'!A96&lt;&gt;"","★",'WBS Input'!B96))</f>
        <v/>
      </c>
      <c r="B96" s="3" t="str">
        <f>IF(AND('WBS Input'!A96="",'WBS Input'!B96=""),"",IF('WBS Input'!A96&lt;&gt;"","■ "&amp;'WBS Input'!A96,IF(LEN('WBS Input'!B96)-LEN(SUBSTITUTE('WBS Input'!B96,".",""))&lt;=1,"  ├─ "&amp;'WBS Input'!C96,"  │  ├─ "&amp;'WBS Input'!C96)))</f>
        <v/>
      </c>
      <c r="C96" s="3" t="str">
        <f>IF(AND('WBS Input'!A96="",'WBS Input'!B96=""),"",IF('WBS Input'!A96&lt;&gt;"","",'WBS Input'!D96))</f>
        <v/>
      </c>
      <c r="D96" s="31" t="str">
        <f>IF(AND('WBS Input'!A96="",'WBS Input'!B96=""),"",IF('WBS Input'!A96&lt;&gt;"","",IF('WBS Input'!E96="","",'WBS Input'!E96)))</f>
        <v/>
      </c>
      <c r="E96" s="31" t="str">
        <f>IF(AND('WBS Input'!A96="",'WBS Input'!B96=""),"",IF('WBS Input'!A96&lt;&gt;"","",IF('WBS Input'!J96="","",'WBS Input'!J96)))</f>
        <v/>
      </c>
    </row>
    <row r="97" spans="1:5" x14ac:dyDescent="0.3">
      <c r="A97" s="4" t="str">
        <f>IF(AND('WBS Input'!A97="",'WBS Input'!B97=""),"",IF('WBS Input'!A97&lt;&gt;"","★",'WBS Input'!B97))</f>
        <v/>
      </c>
      <c r="B97" s="3" t="str">
        <f>IF(AND('WBS Input'!A97="",'WBS Input'!B97=""),"",IF('WBS Input'!A97&lt;&gt;"","■ "&amp;'WBS Input'!A97,IF(LEN('WBS Input'!B97)-LEN(SUBSTITUTE('WBS Input'!B97,".",""))&lt;=1,"  ├─ "&amp;'WBS Input'!C97,"  │  ├─ "&amp;'WBS Input'!C97)))</f>
        <v/>
      </c>
      <c r="C97" s="3" t="str">
        <f>IF(AND('WBS Input'!A97="",'WBS Input'!B97=""),"",IF('WBS Input'!A97&lt;&gt;"","",'WBS Input'!D97))</f>
        <v/>
      </c>
      <c r="D97" s="31" t="str">
        <f>IF(AND('WBS Input'!A97="",'WBS Input'!B97=""),"",IF('WBS Input'!A97&lt;&gt;"","",IF('WBS Input'!E97="","",'WBS Input'!E97)))</f>
        <v/>
      </c>
      <c r="E97" s="31" t="str">
        <f>IF(AND('WBS Input'!A97="",'WBS Input'!B97=""),"",IF('WBS Input'!A97&lt;&gt;"","",IF('WBS Input'!J97="","",'WBS Input'!J97)))</f>
        <v/>
      </c>
    </row>
    <row r="98" spans="1:5" x14ac:dyDescent="0.3">
      <c r="A98" s="4" t="str">
        <f>IF(AND('WBS Input'!A98="",'WBS Input'!B98=""),"",IF('WBS Input'!A98&lt;&gt;"","★",'WBS Input'!B98))</f>
        <v/>
      </c>
      <c r="B98" s="3" t="str">
        <f>IF(AND('WBS Input'!A98="",'WBS Input'!B98=""),"",IF('WBS Input'!A98&lt;&gt;"","■ "&amp;'WBS Input'!A98,IF(LEN('WBS Input'!B98)-LEN(SUBSTITUTE('WBS Input'!B98,".",""))&lt;=1,"  ├─ "&amp;'WBS Input'!C98,"  │  ├─ "&amp;'WBS Input'!C98)))</f>
        <v/>
      </c>
      <c r="C98" s="3" t="str">
        <f>IF(AND('WBS Input'!A98="",'WBS Input'!B98=""),"",IF('WBS Input'!A98&lt;&gt;"","",'WBS Input'!D98))</f>
        <v/>
      </c>
      <c r="D98" s="31" t="str">
        <f>IF(AND('WBS Input'!A98="",'WBS Input'!B98=""),"",IF('WBS Input'!A98&lt;&gt;"","",IF('WBS Input'!E98="","",'WBS Input'!E98)))</f>
        <v/>
      </c>
      <c r="E98" s="31" t="str">
        <f>IF(AND('WBS Input'!A98="",'WBS Input'!B98=""),"",IF('WBS Input'!A98&lt;&gt;"","",IF('WBS Input'!J98="","",'WBS Input'!J98)))</f>
        <v/>
      </c>
    </row>
    <row r="99" spans="1:5" x14ac:dyDescent="0.3">
      <c r="A99" s="4" t="str">
        <f>IF(AND('WBS Input'!A99="",'WBS Input'!B99=""),"",IF('WBS Input'!A99&lt;&gt;"","★",'WBS Input'!B99))</f>
        <v/>
      </c>
      <c r="B99" s="3" t="str">
        <f>IF(AND('WBS Input'!A99="",'WBS Input'!B99=""),"",IF('WBS Input'!A99&lt;&gt;"","■ "&amp;'WBS Input'!A99,IF(LEN('WBS Input'!B99)-LEN(SUBSTITUTE('WBS Input'!B99,".",""))&lt;=1,"  ├─ "&amp;'WBS Input'!C99,"  │  ├─ "&amp;'WBS Input'!C99)))</f>
        <v/>
      </c>
      <c r="C99" s="3" t="str">
        <f>IF(AND('WBS Input'!A99="",'WBS Input'!B99=""),"",IF('WBS Input'!A99&lt;&gt;"","",'WBS Input'!D99))</f>
        <v/>
      </c>
      <c r="D99" s="31" t="str">
        <f>IF(AND('WBS Input'!A99="",'WBS Input'!B99=""),"",IF('WBS Input'!A99&lt;&gt;"","",IF('WBS Input'!E99="","",'WBS Input'!E99)))</f>
        <v/>
      </c>
      <c r="E99" s="31" t="str">
        <f>IF(AND('WBS Input'!A99="",'WBS Input'!B99=""),"",IF('WBS Input'!A99&lt;&gt;"","",IF('WBS Input'!J99="","",'WBS Input'!J99)))</f>
        <v/>
      </c>
    </row>
    <row r="100" spans="1:5" x14ac:dyDescent="0.3">
      <c r="A100" s="4" t="str">
        <f>IF(AND('WBS Input'!A100="",'WBS Input'!B100=""),"",IF('WBS Input'!A100&lt;&gt;"","★",'WBS Input'!B100))</f>
        <v/>
      </c>
      <c r="B100" s="3" t="str">
        <f>IF(AND('WBS Input'!A100="",'WBS Input'!B100=""),"",IF('WBS Input'!A100&lt;&gt;"","■ "&amp;'WBS Input'!A100,IF(LEN('WBS Input'!B100)-LEN(SUBSTITUTE('WBS Input'!B100,".",""))&lt;=1,"  ├─ "&amp;'WBS Input'!C100,"  │  ├─ "&amp;'WBS Input'!C100)))</f>
        <v/>
      </c>
      <c r="C100" s="3" t="str">
        <f>IF(AND('WBS Input'!A100="",'WBS Input'!B100=""),"",IF('WBS Input'!A100&lt;&gt;"","",'WBS Input'!D100))</f>
        <v/>
      </c>
      <c r="D100" s="31" t="str">
        <f>IF(AND('WBS Input'!A100="",'WBS Input'!B100=""),"",IF('WBS Input'!A100&lt;&gt;"","",IF('WBS Input'!E100="","",'WBS Input'!E100)))</f>
        <v/>
      </c>
      <c r="E100" s="31" t="str">
        <f>IF(AND('WBS Input'!A100="",'WBS Input'!B100=""),"",IF('WBS Input'!A100&lt;&gt;"","",IF('WBS Input'!J100="","",'WBS Input'!J100)))</f>
        <v/>
      </c>
    </row>
    <row r="101" spans="1:5" x14ac:dyDescent="0.3">
      <c r="A101" s="4" t="str">
        <f>IF(AND('WBS Input'!A95="",'WBS Input'!B95=""),"",IF('WBS Input'!A95&lt;&gt;"","★",'WBS Input'!B95))</f>
        <v/>
      </c>
      <c r="B101" s="3" t="str">
        <f>IF(AND('WBS Input'!A95="",'WBS Input'!B95=""),"",IF('WBS Input'!A95&lt;&gt;"","■ "&amp;'WBS Input'!A95,IF(LEN('WBS Input'!B95)-LEN(SUBSTITUTE('WBS Input'!B95,".",""))&lt;=1,"  ├─ "&amp;'WBS Input'!C95,"  │  ├─ "&amp;'WBS Input'!C95)))</f>
        <v/>
      </c>
      <c r="C101" s="3" t="str">
        <f>IF(AND('WBS Input'!A95="",'WBS Input'!B95=""),"",IF('WBS Input'!A95&lt;&gt;"","",'WBS Input'!D95))</f>
        <v/>
      </c>
    </row>
  </sheetData>
  <conditionalFormatting sqref="A5:C101">
    <cfRule type="expression" dxfId="19" priority="1">
      <formula>LEFT($B5,1)="■"</formula>
    </cfRule>
    <cfRule type="expression" dxfId="18" priority="2">
      <formula>AND(LEFT($B5,1)&lt;&gt;"■",$B5&lt;&gt;"",LEN($A5)-LEN(SUBSTITUTE($A5,".",""))&lt;=1,$A5&lt;&gt;"★")</formula>
    </cfRule>
  </conditionalFormatting>
  <conditionalFormatting sqref="E5:E100">
    <cfRule type="containsText" dxfId="5" priority="3" operator="containsText" text="Not Started">
      <formula>NOT(ISERROR(SEARCH("Not Started",E5)))</formula>
    </cfRule>
  </conditionalFormatting>
  <conditionalFormatting sqref="E5:E100">
    <cfRule type="containsText" dxfId="4" priority="4" operator="containsText" text="In Progress">
      <formula>NOT(ISERROR(SEARCH("In Progress",E5)))</formula>
    </cfRule>
  </conditionalFormatting>
  <conditionalFormatting sqref="E5:E100">
    <cfRule type="containsText" dxfId="3" priority="5" operator="containsText" text="Completed">
      <formula>NOT(ISERROR(SEARCH("Completed",E5)))</formula>
    </cfRule>
  </conditionalFormatting>
  <conditionalFormatting sqref="E5:E100">
    <cfRule type="containsText" dxfId="2" priority="6" operator="containsText" text="Delayed">
      <formula>NOT(ISERROR(SEARCH("Delayed",E5)))</formula>
    </cfRule>
  </conditionalFormatting>
  <conditionalFormatting sqref="E5:E100">
    <cfRule type="containsText" dxfId="1" priority="7" operator="containsText" text="Pending">
      <formula>NOT(ISERROR(SEARCH("Pending",E5)))</formula>
    </cfRule>
  </conditionalFormatting>
  <conditionalFormatting sqref="E5:E100">
    <cfRule type="containsText" dxfId="0" priority="8" operator="containsText" text="Cancelled">
      <formula>NOT(ISERROR(SEARCH("Cancelled",E5)))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5CFF8-0632-4098-AF88-B46F8644B5D3}">
  <dimension ref="A1:C56"/>
  <sheetViews>
    <sheetView showGridLines="0" zoomScale="70" zoomScaleNormal="70" workbookViewId="0">
      <selection activeCell="L14" sqref="L14"/>
    </sheetView>
  </sheetViews>
  <sheetFormatPr defaultRowHeight="14.4" x14ac:dyDescent="0.3"/>
  <cols>
    <col min="1" max="1" width="37" customWidth="1"/>
    <col min="2" max="2" width="70.33203125" customWidth="1"/>
    <col min="3" max="3" width="61.109375" customWidth="1"/>
  </cols>
  <sheetData>
    <row r="1" spans="1:3" ht="22.8" x14ac:dyDescent="0.45">
      <c r="A1" s="6" t="s">
        <v>104</v>
      </c>
      <c r="B1" s="2"/>
      <c r="C1" s="2"/>
    </row>
    <row r="2" spans="1:3" ht="15" x14ac:dyDescent="0.3">
      <c r="A2" s="2"/>
      <c r="B2" s="2"/>
      <c r="C2" s="2"/>
    </row>
    <row r="3" spans="1:3" ht="16.2" x14ac:dyDescent="0.3">
      <c r="A3" s="7" t="s">
        <v>105</v>
      </c>
      <c r="B3" s="2"/>
      <c r="C3" s="2"/>
    </row>
    <row r="4" spans="1:3" ht="15" x14ac:dyDescent="0.3">
      <c r="A4" s="9" t="s">
        <v>106</v>
      </c>
      <c r="B4" s="9" t="s">
        <v>107</v>
      </c>
      <c r="C4" s="9" t="s">
        <v>108</v>
      </c>
    </row>
    <row r="5" spans="1:3" ht="15" x14ac:dyDescent="0.3">
      <c r="A5" s="10" t="s">
        <v>109</v>
      </c>
      <c r="B5" s="11" t="s">
        <v>110</v>
      </c>
      <c r="C5" s="11" t="s">
        <v>111</v>
      </c>
    </row>
    <row r="6" spans="1:3" ht="15" x14ac:dyDescent="0.3">
      <c r="A6" s="10" t="s">
        <v>112</v>
      </c>
      <c r="B6" s="11" t="s">
        <v>113</v>
      </c>
      <c r="C6" s="12" t="s">
        <v>114</v>
      </c>
    </row>
    <row r="7" spans="1:3" ht="15" x14ac:dyDescent="0.3">
      <c r="A7" s="10" t="s">
        <v>115</v>
      </c>
      <c r="B7" s="11" t="s">
        <v>116</v>
      </c>
      <c r="C7" s="11" t="s">
        <v>21</v>
      </c>
    </row>
    <row r="8" spans="1:3" ht="15" x14ac:dyDescent="0.3">
      <c r="A8" s="2"/>
      <c r="B8" s="2"/>
      <c r="C8" s="2"/>
    </row>
    <row r="9" spans="1:3" ht="16.2" x14ac:dyDescent="0.3">
      <c r="A9" s="7" t="s">
        <v>117</v>
      </c>
      <c r="B9" s="2"/>
      <c r="C9" s="2"/>
    </row>
    <row r="10" spans="1:3" ht="15" x14ac:dyDescent="0.3">
      <c r="A10" s="2"/>
      <c r="B10" s="2"/>
      <c r="C10" s="2"/>
    </row>
    <row r="11" spans="1:3" ht="15" x14ac:dyDescent="0.3">
      <c r="A11" s="5" t="s">
        <v>118</v>
      </c>
      <c r="B11" s="2"/>
      <c r="C11" s="2"/>
    </row>
    <row r="12" spans="1:3" ht="15" x14ac:dyDescent="0.3">
      <c r="A12" s="2" t="s">
        <v>119</v>
      </c>
      <c r="B12" s="2" t="s">
        <v>123</v>
      </c>
      <c r="C12" s="2"/>
    </row>
    <row r="13" spans="1:3" ht="15" x14ac:dyDescent="0.3">
      <c r="A13" s="2" t="s">
        <v>120</v>
      </c>
      <c r="B13" s="2" t="s">
        <v>124</v>
      </c>
      <c r="C13" s="2"/>
    </row>
    <row r="14" spans="1:3" ht="15" x14ac:dyDescent="0.3">
      <c r="A14" s="2" t="s">
        <v>121</v>
      </c>
      <c r="B14" s="2" t="s">
        <v>125</v>
      </c>
      <c r="C14" s="2"/>
    </row>
    <row r="15" spans="1:3" ht="15" x14ac:dyDescent="0.3">
      <c r="A15" s="2" t="s">
        <v>122</v>
      </c>
      <c r="B15" s="2" t="s">
        <v>126</v>
      </c>
      <c r="C15" s="2"/>
    </row>
    <row r="16" spans="1:3" ht="15" x14ac:dyDescent="0.3">
      <c r="A16" s="2"/>
      <c r="B16" s="2"/>
      <c r="C16" s="2"/>
    </row>
    <row r="17" spans="1:3" ht="15" x14ac:dyDescent="0.3">
      <c r="A17" s="5" t="s">
        <v>127</v>
      </c>
      <c r="B17" s="2"/>
      <c r="C17" s="2"/>
    </row>
    <row r="18" spans="1:3" ht="15" x14ac:dyDescent="0.3">
      <c r="A18" s="2" t="s">
        <v>128</v>
      </c>
      <c r="B18" s="2" t="s">
        <v>131</v>
      </c>
      <c r="C18" s="2"/>
    </row>
    <row r="19" spans="1:3" ht="15" x14ac:dyDescent="0.3">
      <c r="A19" s="2" t="s">
        <v>129</v>
      </c>
      <c r="B19" s="2" t="s">
        <v>132</v>
      </c>
      <c r="C19" s="2"/>
    </row>
    <row r="20" spans="1:3" ht="15" x14ac:dyDescent="0.3">
      <c r="A20" s="2" t="s">
        <v>130</v>
      </c>
      <c r="B20" s="2" t="s">
        <v>133</v>
      </c>
      <c r="C20" s="2"/>
    </row>
    <row r="21" spans="1:3" ht="15" x14ac:dyDescent="0.3">
      <c r="A21" s="2"/>
      <c r="B21" s="2"/>
      <c r="C21" s="2"/>
    </row>
    <row r="22" spans="1:3" ht="15" x14ac:dyDescent="0.3">
      <c r="A22" s="8" t="s">
        <v>134</v>
      </c>
      <c r="B22" s="2"/>
      <c r="C22" s="2"/>
    </row>
    <row r="23" spans="1:3" ht="15" x14ac:dyDescent="0.3">
      <c r="A23" s="2">
        <v>1</v>
      </c>
      <c r="B23" s="2" t="s">
        <v>135</v>
      </c>
      <c r="C23" s="2"/>
    </row>
    <row r="24" spans="1:3" ht="15" x14ac:dyDescent="0.3">
      <c r="A24" s="2">
        <v>2</v>
      </c>
      <c r="B24" s="2" t="s">
        <v>136</v>
      </c>
      <c r="C24" s="2"/>
    </row>
    <row r="25" spans="1:3" ht="15" x14ac:dyDescent="0.3">
      <c r="A25" s="2">
        <v>3</v>
      </c>
      <c r="B25" s="2" t="s">
        <v>137</v>
      </c>
      <c r="C25" s="2"/>
    </row>
    <row r="26" spans="1:3" ht="15" x14ac:dyDescent="0.3">
      <c r="A26" s="2"/>
      <c r="B26" s="2"/>
      <c r="C26" s="2"/>
    </row>
    <row r="27" spans="1:3" ht="16.2" x14ac:dyDescent="0.3">
      <c r="A27" s="7" t="s">
        <v>138</v>
      </c>
      <c r="B27" s="2"/>
      <c r="C27" s="2"/>
    </row>
    <row r="28" spans="1:3" ht="15" x14ac:dyDescent="0.3">
      <c r="A28" s="9" t="s">
        <v>139</v>
      </c>
      <c r="B28" s="9" t="s">
        <v>140</v>
      </c>
      <c r="C28" s="9" t="s">
        <v>112</v>
      </c>
    </row>
    <row r="29" spans="1:3" ht="15" x14ac:dyDescent="0.3">
      <c r="A29" s="10" t="s">
        <v>141</v>
      </c>
      <c r="B29" s="11" t="s">
        <v>142</v>
      </c>
      <c r="C29" s="11" t="s">
        <v>143</v>
      </c>
    </row>
    <row r="30" spans="1:3" ht="15" x14ac:dyDescent="0.3">
      <c r="A30" s="10" t="s">
        <v>144</v>
      </c>
      <c r="B30" s="11" t="s">
        <v>145</v>
      </c>
      <c r="C30" s="11" t="s">
        <v>146</v>
      </c>
    </row>
    <row r="31" spans="1:3" ht="15" x14ac:dyDescent="0.3">
      <c r="A31" s="13" t="s">
        <v>147</v>
      </c>
      <c r="B31" s="11" t="s">
        <v>148</v>
      </c>
      <c r="C31" s="12" t="s">
        <v>149</v>
      </c>
    </row>
    <row r="32" spans="1:3" ht="15" x14ac:dyDescent="0.3">
      <c r="A32" s="13" t="s">
        <v>150</v>
      </c>
      <c r="B32" s="11" t="s">
        <v>151</v>
      </c>
      <c r="C32" s="12" t="s">
        <v>152</v>
      </c>
    </row>
    <row r="33" spans="1:3" ht="15" x14ac:dyDescent="0.3">
      <c r="A33" s="13" t="s">
        <v>153</v>
      </c>
      <c r="B33" s="11" t="s">
        <v>154</v>
      </c>
      <c r="C33" s="12" t="s">
        <v>152</v>
      </c>
    </row>
    <row r="34" spans="1:3" ht="15" x14ac:dyDescent="0.3">
      <c r="A34" s="13" t="s">
        <v>155</v>
      </c>
      <c r="B34" s="11" t="s">
        <v>156</v>
      </c>
      <c r="C34" s="12" t="s">
        <v>157</v>
      </c>
    </row>
    <row r="35" spans="1:3" ht="15" x14ac:dyDescent="0.3">
      <c r="A35" s="2"/>
      <c r="B35" s="2"/>
      <c r="C35" s="2"/>
    </row>
    <row r="36" spans="1:3" ht="16.2" x14ac:dyDescent="0.3">
      <c r="A36" s="7" t="s">
        <v>158</v>
      </c>
      <c r="B36" s="2"/>
      <c r="C36" s="2"/>
    </row>
    <row r="37" spans="1:3" ht="15" x14ac:dyDescent="0.3">
      <c r="A37" s="2" t="s">
        <v>159</v>
      </c>
      <c r="B37" s="2"/>
      <c r="C37" s="2"/>
    </row>
    <row r="38" spans="1:3" ht="15" x14ac:dyDescent="0.3">
      <c r="A38" s="2"/>
      <c r="B38" s="2"/>
      <c r="C38" s="2"/>
    </row>
    <row r="39" spans="1:3" ht="15" x14ac:dyDescent="0.3">
      <c r="A39" s="5" t="s">
        <v>160</v>
      </c>
      <c r="B39" s="2" t="s">
        <v>161</v>
      </c>
      <c r="C39" s="2"/>
    </row>
    <row r="40" spans="1:3" ht="15" x14ac:dyDescent="0.3">
      <c r="A40" s="5" t="s">
        <v>162</v>
      </c>
      <c r="B40" s="2" t="s">
        <v>163</v>
      </c>
      <c r="C40" s="2"/>
    </row>
    <row r="41" spans="1:3" ht="15" x14ac:dyDescent="0.3">
      <c r="A41" s="5" t="s">
        <v>164</v>
      </c>
      <c r="B41" s="2" t="s">
        <v>165</v>
      </c>
      <c r="C41" s="2"/>
    </row>
    <row r="42" spans="1:3" ht="15" x14ac:dyDescent="0.3">
      <c r="A42" s="5" t="s">
        <v>166</v>
      </c>
      <c r="B42" s="2" t="s">
        <v>167</v>
      </c>
      <c r="C42" s="2"/>
    </row>
    <row r="43" spans="1:3" ht="15" x14ac:dyDescent="0.3">
      <c r="A43" s="2"/>
      <c r="B43" s="2"/>
      <c r="C43" s="2"/>
    </row>
    <row r="44" spans="1:3" ht="15" x14ac:dyDescent="0.3">
      <c r="A44" s="21" t="s">
        <v>168</v>
      </c>
      <c r="B44" s="2"/>
      <c r="C44" s="2"/>
    </row>
    <row r="45" spans="1:3" ht="15" x14ac:dyDescent="0.3">
      <c r="A45" s="2"/>
      <c r="B45" s="2"/>
      <c r="C45" s="2"/>
    </row>
    <row r="46" spans="1:3" ht="16.2" x14ac:dyDescent="0.3">
      <c r="A46" s="7" t="s">
        <v>169</v>
      </c>
      <c r="B46" s="2"/>
      <c r="C46" s="2"/>
    </row>
    <row r="47" spans="1:3" ht="15" hidden="1" x14ac:dyDescent="0.3">
      <c r="A47" s="2"/>
      <c r="B47" s="2"/>
      <c r="C47" s="2"/>
    </row>
    <row r="48" spans="1:3" ht="15" x14ac:dyDescent="0.3">
      <c r="A48" s="9" t="s">
        <v>170</v>
      </c>
      <c r="B48" s="9" t="s">
        <v>171</v>
      </c>
      <c r="C48" s="9" t="s">
        <v>172</v>
      </c>
    </row>
    <row r="49" spans="1:3" ht="16.2" x14ac:dyDescent="0.3">
      <c r="A49" s="14" t="s">
        <v>22</v>
      </c>
      <c r="B49" s="11" t="s">
        <v>30</v>
      </c>
      <c r="C49" s="11" t="s">
        <v>173</v>
      </c>
    </row>
    <row r="50" spans="1:3" ht="15" x14ac:dyDescent="0.3">
      <c r="A50" s="11" t="s">
        <v>23</v>
      </c>
      <c r="B50" s="11" t="s">
        <v>174</v>
      </c>
      <c r="C50" s="11" t="s">
        <v>175</v>
      </c>
    </row>
    <row r="51" spans="1:3" ht="15" x14ac:dyDescent="0.3">
      <c r="A51" s="11" t="s">
        <v>24</v>
      </c>
      <c r="B51" s="11" t="s">
        <v>176</v>
      </c>
      <c r="C51" s="11" t="s">
        <v>177</v>
      </c>
    </row>
    <row r="52" spans="1:3" ht="15" x14ac:dyDescent="0.3">
      <c r="A52" s="2"/>
      <c r="B52" s="2"/>
      <c r="C52" s="2"/>
    </row>
    <row r="53" spans="1:3" ht="15" x14ac:dyDescent="0.3">
      <c r="A53" s="5" t="s">
        <v>178</v>
      </c>
      <c r="B53" s="2"/>
      <c r="C53" s="2"/>
    </row>
    <row r="54" spans="1:3" ht="15" x14ac:dyDescent="0.3">
      <c r="A54" s="2" t="s">
        <v>128</v>
      </c>
      <c r="B54" s="2" t="s">
        <v>179</v>
      </c>
      <c r="C54" s="2"/>
    </row>
    <row r="55" spans="1:3" ht="15" x14ac:dyDescent="0.3">
      <c r="A55" s="2" t="s">
        <v>129</v>
      </c>
      <c r="B55" s="2" t="s">
        <v>180</v>
      </c>
      <c r="C55" s="2"/>
    </row>
    <row r="56" spans="1:3" ht="15" x14ac:dyDescent="0.3">
      <c r="A56" s="2" t="s">
        <v>130</v>
      </c>
      <c r="B56" s="2" t="s">
        <v>181</v>
      </c>
      <c r="C5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WBS Input</vt:lpstr>
      <vt:lpstr>WBS Tree View</vt:lpstr>
      <vt:lpstr>User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Hiromi Yasuta</cp:lastModifiedBy>
  <dcterms:created xsi:type="dcterms:W3CDTF">2026-04-12T13:39:03Z</dcterms:created>
  <dcterms:modified xsi:type="dcterms:W3CDTF">2026-04-12T17:08:20Z</dcterms:modified>
</cp:coreProperties>
</file>