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16c861d618c7ef/Documents/WBS_Excel/"/>
    </mc:Choice>
  </mc:AlternateContent>
  <xr:revisionPtr revIDLastSave="276" documentId="8_{3E48023D-EB59-4BF6-81DB-BB99B990D1F9}" xr6:coauthVersionLast="47" xr6:coauthVersionMax="47" xr10:uidLastSave="{DEC4211B-1864-4D2A-B8E5-BF50DDAEE76B}"/>
  <bookViews>
    <workbookView xWindow="-108" yWindow="-108" windowWidth="23256" windowHeight="13896" xr2:uid="{C13E4BC4-619E-4707-9B5C-4CBBCCD8F4CF}"/>
  </bookViews>
  <sheets>
    <sheet name="WBS入力" sheetId="1" r:id="rId1"/>
    <sheet name="WBSツリー表示" sheetId="4" r:id="rId2"/>
    <sheet name="使い方ガイド" sheetId="5" r:id="rId3"/>
  </sheets>
  <definedNames>
    <definedName name="_xlnm._FilterDatabase" localSheetId="0" hidden="1">WBS入力!$A$4:$L$4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/>
  <c r="B6" i="4"/>
  <c r="C6" i="4"/>
  <c r="D6" i="4"/>
  <c r="E6" i="4"/>
  <c r="A7" i="4"/>
  <c r="B7" i="4"/>
  <c r="C7" i="4"/>
  <c r="D7" i="4"/>
  <c r="E7" i="4"/>
  <c r="A8" i="4"/>
  <c r="B8" i="4"/>
  <c r="C8" i="4"/>
  <c r="D8" i="4"/>
  <c r="E8" i="4"/>
  <c r="A9" i="4"/>
  <c r="B9" i="4"/>
  <c r="C9" i="4"/>
  <c r="D9" i="4"/>
  <c r="E9" i="4"/>
  <c r="A10" i="4"/>
  <c r="B10" i="4"/>
  <c r="C10" i="4"/>
  <c r="D10" i="4"/>
  <c r="E10" i="4"/>
  <c r="A11" i="4"/>
  <c r="B11" i="4"/>
  <c r="C11" i="4"/>
  <c r="D11" i="4"/>
  <c r="E11" i="4"/>
  <c r="A12" i="4"/>
  <c r="B12" i="4"/>
  <c r="C12" i="4"/>
  <c r="D12" i="4"/>
  <c r="E12" i="4"/>
  <c r="A13" i="4"/>
  <c r="B13" i="4"/>
  <c r="C13" i="4"/>
  <c r="D13" i="4"/>
  <c r="E13" i="4"/>
  <c r="A14" i="4"/>
  <c r="B14" i="4"/>
  <c r="C14" i="4"/>
  <c r="D14" i="4"/>
  <c r="E14" i="4"/>
  <c r="A15" i="4"/>
  <c r="B15" i="4"/>
  <c r="C15" i="4"/>
  <c r="D15" i="4"/>
  <c r="E15" i="4"/>
  <c r="A16" i="4"/>
  <c r="B16" i="4"/>
  <c r="C16" i="4"/>
  <c r="D16" i="4"/>
  <c r="E16" i="4"/>
  <c r="A17" i="4"/>
  <c r="B17" i="4"/>
  <c r="C17" i="4"/>
  <c r="D17" i="4"/>
  <c r="E17" i="4"/>
  <c r="A18" i="4"/>
  <c r="B18" i="4"/>
  <c r="C18" i="4"/>
  <c r="D18" i="4"/>
  <c r="E18" i="4"/>
  <c r="A19" i="4"/>
  <c r="B19" i="4"/>
  <c r="C19" i="4"/>
  <c r="D19" i="4"/>
  <c r="E19" i="4"/>
  <c r="A20" i="4"/>
  <c r="B20" i="4"/>
  <c r="C20" i="4"/>
  <c r="D20" i="4"/>
  <c r="E20" i="4"/>
  <c r="A21" i="4"/>
  <c r="B21" i="4"/>
  <c r="C21" i="4"/>
  <c r="D21" i="4"/>
  <c r="E21" i="4"/>
  <c r="A22" i="4"/>
  <c r="B22" i="4"/>
  <c r="C22" i="4"/>
  <c r="D22" i="4"/>
  <c r="E22" i="4"/>
  <c r="A23" i="4"/>
  <c r="B23" i="4"/>
  <c r="C23" i="4"/>
  <c r="D23" i="4"/>
  <c r="E23" i="4"/>
  <c r="A24" i="4"/>
  <c r="B24" i="4"/>
  <c r="C24" i="4"/>
  <c r="D24" i="4"/>
  <c r="E24" i="4"/>
  <c r="A25" i="4"/>
  <c r="B25" i="4"/>
  <c r="C25" i="4"/>
  <c r="D25" i="4"/>
  <c r="E25" i="4"/>
  <c r="A26" i="4"/>
  <c r="B26" i="4"/>
  <c r="C26" i="4"/>
  <c r="D26" i="4"/>
  <c r="E26" i="4"/>
  <c r="A27" i="4"/>
  <c r="B27" i="4"/>
  <c r="C27" i="4"/>
  <c r="D27" i="4"/>
  <c r="E27" i="4"/>
  <c r="A28" i="4"/>
  <c r="B28" i="4"/>
  <c r="C28" i="4"/>
  <c r="D28" i="4"/>
  <c r="E28" i="4"/>
  <c r="A29" i="4"/>
  <c r="B29" i="4"/>
  <c r="C29" i="4"/>
  <c r="D29" i="4"/>
  <c r="E29" i="4"/>
  <c r="A30" i="4"/>
  <c r="B30" i="4"/>
  <c r="C30" i="4"/>
  <c r="D30" i="4"/>
  <c r="E30" i="4"/>
  <c r="A31" i="4"/>
  <c r="B31" i="4"/>
  <c r="C31" i="4"/>
  <c r="D31" i="4"/>
  <c r="E31" i="4"/>
  <c r="A32" i="4"/>
  <c r="B32" i="4"/>
  <c r="C32" i="4"/>
  <c r="D32" i="4"/>
  <c r="E32" i="4"/>
  <c r="A33" i="4"/>
  <c r="B33" i="4"/>
  <c r="C33" i="4"/>
  <c r="D33" i="4"/>
  <c r="E33" i="4"/>
  <c r="A34" i="4"/>
  <c r="B34" i="4"/>
  <c r="C34" i="4"/>
  <c r="D34" i="4"/>
  <c r="E34" i="4"/>
  <c r="A35" i="4"/>
  <c r="B35" i="4"/>
  <c r="C35" i="4"/>
  <c r="D35" i="4"/>
  <c r="E35" i="4"/>
  <c r="A36" i="4"/>
  <c r="B36" i="4"/>
  <c r="C36" i="4"/>
  <c r="D36" i="4"/>
  <c r="E36" i="4"/>
  <c r="A37" i="4"/>
  <c r="B37" i="4"/>
  <c r="C37" i="4"/>
  <c r="D37" i="4"/>
  <c r="E37" i="4"/>
  <c r="A38" i="4"/>
  <c r="B38" i="4"/>
  <c r="C38" i="4"/>
  <c r="D38" i="4"/>
  <c r="E38" i="4"/>
  <c r="A39" i="4"/>
  <c r="B39" i="4"/>
  <c r="C39" i="4"/>
  <c r="D39" i="4"/>
  <c r="E39" i="4"/>
  <c r="A40" i="4"/>
  <c r="B40" i="4"/>
  <c r="C40" i="4"/>
  <c r="D40" i="4"/>
  <c r="E40" i="4"/>
  <c r="A41" i="4"/>
  <c r="B41" i="4"/>
  <c r="C41" i="4"/>
  <c r="D41" i="4"/>
  <c r="E41" i="4"/>
  <c r="A42" i="4"/>
  <c r="B42" i="4"/>
  <c r="C42" i="4"/>
  <c r="D42" i="4"/>
  <c r="E42" i="4"/>
  <c r="A43" i="4"/>
  <c r="B43" i="4"/>
  <c r="C43" i="4"/>
  <c r="D43" i="4"/>
  <c r="E43" i="4"/>
  <c r="A44" i="4"/>
  <c r="B44" i="4"/>
  <c r="C44" i="4"/>
  <c r="D44" i="4"/>
  <c r="E44" i="4"/>
  <c r="A45" i="4"/>
  <c r="B45" i="4"/>
  <c r="C45" i="4"/>
  <c r="D45" i="4"/>
  <c r="E45" i="4"/>
  <c r="A46" i="4"/>
  <c r="B46" i="4"/>
  <c r="C46" i="4"/>
  <c r="D46" i="4"/>
  <c r="E46" i="4"/>
  <c r="A47" i="4"/>
  <c r="B47" i="4"/>
  <c r="C47" i="4"/>
  <c r="D47" i="4"/>
  <c r="E47" i="4"/>
  <c r="A48" i="4"/>
  <c r="B48" i="4"/>
  <c r="C48" i="4"/>
  <c r="D48" i="4"/>
  <c r="E48" i="4"/>
  <c r="A49" i="4"/>
  <c r="B49" i="4"/>
  <c r="C49" i="4"/>
  <c r="D49" i="4"/>
  <c r="E49" i="4"/>
  <c r="A50" i="4"/>
  <c r="B50" i="4"/>
  <c r="C50" i="4"/>
  <c r="D50" i="4"/>
  <c r="E50" i="4"/>
  <c r="A51" i="4"/>
  <c r="B51" i="4"/>
  <c r="C51" i="4"/>
  <c r="D51" i="4"/>
  <c r="E51" i="4"/>
  <c r="A52" i="4"/>
  <c r="B52" i="4"/>
  <c r="C52" i="4"/>
  <c r="D52" i="4"/>
  <c r="E52" i="4"/>
  <c r="A53" i="4"/>
  <c r="B53" i="4"/>
  <c r="C53" i="4"/>
  <c r="D53" i="4"/>
  <c r="E53" i="4"/>
  <c r="A54" i="4"/>
  <c r="B54" i="4"/>
  <c r="C54" i="4"/>
  <c r="D54" i="4"/>
  <c r="E54" i="4"/>
  <c r="A55" i="4"/>
  <c r="B55" i="4"/>
  <c r="C55" i="4"/>
  <c r="D55" i="4"/>
  <c r="E55" i="4"/>
  <c r="A56" i="4"/>
  <c r="B56" i="4"/>
  <c r="C56" i="4"/>
  <c r="D56" i="4"/>
  <c r="E56" i="4"/>
  <c r="A57" i="4"/>
  <c r="B57" i="4"/>
  <c r="C57" i="4"/>
  <c r="D57" i="4"/>
  <c r="E57" i="4"/>
  <c r="A58" i="4"/>
  <c r="B58" i="4"/>
  <c r="C58" i="4"/>
  <c r="D58" i="4"/>
  <c r="E58" i="4"/>
  <c r="A59" i="4"/>
  <c r="B59" i="4"/>
  <c r="C59" i="4"/>
  <c r="D59" i="4"/>
  <c r="E59" i="4"/>
  <c r="A60" i="4"/>
  <c r="B60" i="4"/>
  <c r="C60" i="4"/>
  <c r="D60" i="4"/>
  <c r="E60" i="4"/>
  <c r="A61" i="4"/>
  <c r="B61" i="4"/>
  <c r="C61" i="4"/>
  <c r="D61" i="4"/>
  <c r="E61" i="4"/>
  <c r="A62" i="4"/>
  <c r="B62" i="4"/>
  <c r="C62" i="4"/>
  <c r="D62" i="4"/>
  <c r="E62" i="4"/>
  <c r="A63" i="4"/>
  <c r="B63" i="4"/>
  <c r="C63" i="4"/>
  <c r="D63" i="4"/>
  <c r="E63" i="4"/>
  <c r="A64" i="4"/>
  <c r="B64" i="4"/>
  <c r="C64" i="4"/>
  <c r="D64" i="4"/>
  <c r="E64" i="4"/>
  <c r="A65" i="4"/>
  <c r="B65" i="4"/>
  <c r="C65" i="4"/>
  <c r="D65" i="4"/>
  <c r="E65" i="4"/>
  <c r="A66" i="4"/>
  <c r="B66" i="4"/>
  <c r="C66" i="4"/>
  <c r="D66" i="4"/>
  <c r="E66" i="4"/>
  <c r="A67" i="4"/>
  <c r="B67" i="4"/>
  <c r="C67" i="4"/>
  <c r="D67" i="4"/>
  <c r="E67" i="4"/>
  <c r="A68" i="4"/>
  <c r="B68" i="4"/>
  <c r="C68" i="4"/>
  <c r="D68" i="4"/>
  <c r="E68" i="4"/>
  <c r="A69" i="4"/>
  <c r="B69" i="4"/>
  <c r="C69" i="4"/>
  <c r="D69" i="4"/>
  <c r="E69" i="4"/>
  <c r="A70" i="4"/>
  <c r="B70" i="4"/>
  <c r="C70" i="4"/>
  <c r="D70" i="4"/>
  <c r="E70" i="4"/>
  <c r="A71" i="4"/>
  <c r="B71" i="4"/>
  <c r="C71" i="4"/>
  <c r="D71" i="4"/>
  <c r="E71" i="4"/>
  <c r="A72" i="4"/>
  <c r="B72" i="4"/>
  <c r="C72" i="4"/>
  <c r="D72" i="4"/>
  <c r="E72" i="4"/>
  <c r="A73" i="4"/>
  <c r="B73" i="4"/>
  <c r="C73" i="4"/>
  <c r="D73" i="4"/>
  <c r="E73" i="4"/>
  <c r="A74" i="4"/>
  <c r="B74" i="4"/>
  <c r="C74" i="4"/>
  <c r="D74" i="4"/>
  <c r="E74" i="4"/>
  <c r="A75" i="4"/>
  <c r="B75" i="4"/>
  <c r="C75" i="4"/>
  <c r="D75" i="4"/>
  <c r="E75" i="4"/>
  <c r="A76" i="4"/>
  <c r="B76" i="4"/>
  <c r="C76" i="4"/>
  <c r="D76" i="4"/>
  <c r="E76" i="4"/>
  <c r="A77" i="4"/>
  <c r="B77" i="4"/>
  <c r="C77" i="4"/>
  <c r="D77" i="4"/>
  <c r="E77" i="4"/>
  <c r="A78" i="4"/>
  <c r="B78" i="4"/>
  <c r="C78" i="4"/>
  <c r="D78" i="4"/>
  <c r="E78" i="4"/>
  <c r="A79" i="4"/>
  <c r="B79" i="4"/>
  <c r="C79" i="4"/>
  <c r="D79" i="4"/>
  <c r="E79" i="4"/>
  <c r="A80" i="4"/>
  <c r="B80" i="4"/>
  <c r="C80" i="4"/>
  <c r="D80" i="4"/>
  <c r="E80" i="4"/>
  <c r="A81" i="4"/>
  <c r="B81" i="4"/>
  <c r="C81" i="4"/>
  <c r="D81" i="4"/>
  <c r="E81" i="4"/>
  <c r="A82" i="4"/>
  <c r="B82" i="4"/>
  <c r="C82" i="4"/>
  <c r="D82" i="4"/>
  <c r="E82" i="4"/>
  <c r="A83" i="4"/>
  <c r="B83" i="4"/>
  <c r="C83" i="4"/>
  <c r="D83" i="4"/>
  <c r="E83" i="4"/>
  <c r="A84" i="4"/>
  <c r="B84" i="4"/>
  <c r="C84" i="4"/>
  <c r="D84" i="4"/>
  <c r="E84" i="4"/>
  <c r="A85" i="4"/>
  <c r="B85" i="4"/>
  <c r="C85" i="4"/>
  <c r="D85" i="4"/>
  <c r="E85" i="4"/>
  <c r="A86" i="4"/>
  <c r="B86" i="4"/>
  <c r="C86" i="4"/>
  <c r="D86" i="4"/>
  <c r="E86" i="4"/>
  <c r="A87" i="4"/>
  <c r="B87" i="4"/>
  <c r="C87" i="4"/>
  <c r="D87" i="4"/>
  <c r="E87" i="4"/>
  <c r="A88" i="4"/>
  <c r="B88" i="4"/>
  <c r="C88" i="4"/>
  <c r="D88" i="4"/>
  <c r="E88" i="4"/>
  <c r="A89" i="4"/>
  <c r="B89" i="4"/>
  <c r="C89" i="4"/>
  <c r="D89" i="4"/>
  <c r="E89" i="4"/>
  <c r="A90" i="4"/>
  <c r="B90" i="4"/>
  <c r="C90" i="4"/>
  <c r="D90" i="4"/>
  <c r="E90" i="4"/>
  <c r="A91" i="4"/>
  <c r="B91" i="4"/>
  <c r="C91" i="4"/>
  <c r="D91" i="4"/>
  <c r="E91" i="4"/>
  <c r="A92" i="4"/>
  <c r="B92" i="4"/>
  <c r="C92" i="4"/>
  <c r="D92" i="4"/>
  <c r="E92" i="4"/>
  <c r="A93" i="4"/>
  <c r="B93" i="4"/>
  <c r="C93" i="4"/>
  <c r="D93" i="4"/>
  <c r="E93" i="4"/>
  <c r="A94" i="4"/>
  <c r="B94" i="4"/>
  <c r="C94" i="4"/>
  <c r="D94" i="4"/>
  <c r="E94" i="4"/>
  <c r="A95" i="4"/>
  <c r="B95" i="4"/>
  <c r="C95" i="4"/>
  <c r="D95" i="4"/>
  <c r="E95" i="4"/>
  <c r="A96" i="4"/>
  <c r="B96" i="4"/>
  <c r="C96" i="4"/>
  <c r="D96" i="4"/>
  <c r="E96" i="4"/>
  <c r="A97" i="4"/>
  <c r="B97" i="4"/>
  <c r="C97" i="4"/>
  <c r="D97" i="4"/>
  <c r="E97" i="4"/>
  <c r="A98" i="4"/>
  <c r="B98" i="4"/>
  <c r="C98" i="4"/>
  <c r="D98" i="4"/>
  <c r="E98" i="4"/>
  <c r="A99" i="4"/>
  <c r="B99" i="4"/>
  <c r="C99" i="4"/>
  <c r="D99" i="4"/>
  <c r="E99" i="4"/>
  <c r="A100" i="4"/>
  <c r="B100" i="4"/>
  <c r="C100" i="4"/>
  <c r="D100" i="4"/>
  <c r="E100" i="4"/>
  <c r="E5" i="4"/>
  <c r="D5" i="4"/>
  <c r="C2" i="4"/>
  <c r="C1" i="4"/>
  <c r="A1" i="4"/>
  <c r="A101" i="4"/>
  <c r="B101" i="4"/>
  <c r="C101" i="4"/>
  <c r="C5" i="4"/>
  <c r="B5" i="4"/>
  <c r="A5" i="4"/>
</calcChain>
</file>

<file path=xl/sharedStrings.xml><?xml version="1.0" encoding="utf-8"?>
<sst xmlns="http://schemas.openxmlformats.org/spreadsheetml/2006/main" count="216" uniqueCount="201">
  <si>
    <t>タスク名</t>
  </si>
  <si>
    <t>詳細内容</t>
  </si>
  <si>
    <t>現状業務の棚卸し</t>
  </si>
  <si>
    <t>1.1.1</t>
  </si>
  <si>
    <t>現行業務フロー図の改訂</t>
  </si>
  <si>
    <t>給与・社保・勤怠のプロセスを最新化し可視化</t>
  </si>
  <si>
    <t>1.1.2</t>
  </si>
  <si>
    <t>現行SLAの確認と実績評価</t>
  </si>
  <si>
    <t>現行ベンダーのパフォーマンスと未達項目の特定</t>
  </si>
  <si>
    <t>1.1.3</t>
  </si>
  <si>
    <t>業務分担表（RACI）の作成</t>
  </si>
  <si>
    <t>1.1.4</t>
  </si>
  <si>
    <t>例外処理・イレギュラー業務の抽出</t>
  </si>
  <si>
    <t>マニュアル化されていない特殊対応の特定</t>
  </si>
  <si>
    <t>予算・スケジュール策定</t>
  </si>
  <si>
    <t>1.3.1</t>
  </si>
  <si>
    <t>1.3.2</t>
  </si>
  <si>
    <t>プロジェクトロードマップ作成</t>
  </si>
  <si>
    <t>RFP発行から本番稼働までの工程表作成</t>
  </si>
  <si>
    <t>1.3.3</t>
  </si>
  <si>
    <t>リソース計画の策定</t>
  </si>
  <si>
    <t>内部メンバーの工数確保と体制構築</t>
  </si>
  <si>
    <t>3. 移管準備（設計）</t>
  </si>
  <si>
    <t>TO-BE業務フロー設計</t>
  </si>
  <si>
    <t>3.1.1</t>
  </si>
  <si>
    <t>業務フローのギャップ分析</t>
  </si>
  <si>
    <t>現行と新ベンダー標準機能の差分抽出</t>
  </si>
  <si>
    <t>3.1.2</t>
  </si>
  <si>
    <t>承認ワークフローの再設計</t>
  </si>
  <si>
    <t>申請ルートとHRIS上の権限設定</t>
  </si>
  <si>
    <t>システム/データ連携設計</t>
  </si>
  <si>
    <t>3.2.1</t>
  </si>
  <si>
    <t>インターフェース仕様書の作成</t>
  </si>
  <si>
    <t>3.2.2</t>
  </si>
  <si>
    <t>マスターデータマッピング</t>
  </si>
  <si>
    <t>組織コード等の名称・属性の突合定義</t>
  </si>
  <si>
    <t>移行計画策定</t>
  </si>
  <si>
    <t>3.3.1</t>
  </si>
  <si>
    <t>データクレンジング計画</t>
  </si>
  <si>
    <t>移行前に修正が必要な人事情報の特定</t>
  </si>
  <si>
    <t>3.3.2</t>
  </si>
  <si>
    <t>パラレルラン（並行稼働）計画</t>
  </si>
  <si>
    <t>給与計算の二重検証期間、検証対象者の策定</t>
  </si>
  <si>
    <t>フェーズ</t>
  </si>
  <si>
    <t>ID</t>
  </si>
  <si>
    <t>1. 企画・現状分析</t>
  </si>
  <si>
    <t>対象業務の範囲（スコープ）の明確化</t>
  </si>
  <si>
    <t>プロジェクト実行計画の承認取得</t>
  </si>
  <si>
    <t>切替コストの見積り</t>
  </si>
  <si>
    <t>初期導入費用とランニングコストの比較</t>
  </si>
  <si>
    <t>2. ベンダー選定</t>
  </si>
  <si>
    <t>RFI/RFP作成・送付</t>
  </si>
  <si>
    <t>提案依頼書の送付と質疑応答</t>
  </si>
  <si>
    <t>提案評価・選定</t>
  </si>
  <si>
    <t>プレゼン実施とスコアリングによる決定</t>
  </si>
  <si>
    <t>新ベンダー体制での最適化</t>
  </si>
  <si>
    <t>データ整合性の担保</t>
  </si>
  <si>
    <t>切替リスクの最小化</t>
  </si>
  <si>
    <t>4. 構築・テスト</t>
  </si>
  <si>
    <t>受入テスト（UAT）</t>
  </si>
  <si>
    <t>業務シナリオに基づく運用テスト</t>
  </si>
  <si>
    <t>5. 移行・並行稼働</t>
  </si>
  <si>
    <t>パラレルラン実施</t>
  </si>
  <si>
    <t>現行と新ベンダーによる給与計算の突合</t>
  </si>
  <si>
    <t>本番切替（Go-Live）</t>
  </si>
  <si>
    <t>新ベンダーへの完全移行</t>
  </si>
  <si>
    <t>自社人事・IT部門・現行ベンダー間の責任範囲を整理</t>
  </si>
  <si>
    <t>1.1.5</t>
  </si>
  <si>
    <t>社会保険・労働保険業務の確認</t>
  </si>
  <si>
    <t>健康保険・厚生年金の取得/喪失、算定、月変の運用把握</t>
  </si>
  <si>
    <t>1.1.6</t>
  </si>
  <si>
    <t>退職・休職手続きの確認</t>
  </si>
  <si>
    <t>退職金計算、離職票発行、育休・傷病手当運用の可視化</t>
  </si>
  <si>
    <t>1.1.7</t>
  </si>
  <si>
    <t>福利厚生付帯業務の確認</t>
  </si>
  <si>
    <t>手当、持株会、財形、健康診断予約連携等の整理</t>
  </si>
  <si>
    <t>1.1.8</t>
  </si>
  <si>
    <t>年末調整業務の確認</t>
  </si>
  <si>
    <t>スケジュール、申告システム、電子申請利用状況の特定</t>
  </si>
  <si>
    <t>6. ABC</t>
  </si>
  <si>
    <t>abcdef</t>
  </si>
  <si>
    <t>ghijk</t>
  </si>
  <si>
    <t>■ シート構成</t>
  </si>
  <si>
    <t>シート名</t>
  </si>
  <si>
    <t>役割</t>
  </si>
  <si>
    <t>編集</t>
  </si>
  <si>
    <t>WBS入力</t>
  </si>
  <si>
    <t>データの入力・編集用。すべての変更はここで行う</t>
  </si>
  <si>
    <t>○ 編集可</t>
  </si>
  <si>
    <t>WBSツリー表示</t>
  </si>
  <si>
    <t>ツリー形式の閲覧用。数式で「WBS入力」を自動参照</t>
  </si>
  <si>
    <t>使い方ガイド</t>
  </si>
  <si>
    <t>本シート。操作方法とメンテナンス手順の説明</t>
  </si>
  <si>
    <t>-</t>
  </si>
  <si>
    <t>■ 「WBS入力」シートの使い方</t>
  </si>
  <si>
    <t>列構成：</t>
  </si>
  <si>
    <t xml:space="preserve">  A列（フェーズ）</t>
  </si>
  <si>
    <t>フェーズ名のみ記入。例：「1. 企画・現状分析」</t>
  </si>
  <si>
    <t xml:space="preserve">  B列（ID）</t>
  </si>
  <si>
    <t>WBS番号。例：1.1 / 1.1.1 / 1.3.2</t>
  </si>
  <si>
    <t xml:space="preserve">  C列（タスク名）</t>
  </si>
  <si>
    <t>タスクの名称</t>
  </si>
  <si>
    <t xml:space="preserve">  D列（詳細内容）</t>
  </si>
  <si>
    <t>タスクの説明・定義</t>
  </si>
  <si>
    <t>行の種類：</t>
  </si>
  <si>
    <t xml:space="preserve">  フェーズ行</t>
  </si>
  <si>
    <t>A列にフェーズ名を記入。B・C・D列は空欄にする</t>
  </si>
  <si>
    <t xml:space="preserve">  中間タスク行</t>
  </si>
  <si>
    <t>B列にID（ドットが1つ）を記入。例：1.1 / 2.1 / 3.2</t>
  </si>
  <si>
    <t xml:space="preserve">  末端タスク行</t>
  </si>
  <si>
    <t>B列にID（ドットが2つ）を記入。例：1.1.1 / 3.2.2</t>
  </si>
  <si>
    <t>重要ルール：</t>
  </si>
  <si>
    <t>フェーズ行はA列のみ記入。B・C・D列にデータを入れないこと</t>
  </si>
  <si>
    <t>タスク行はA列を空欄にし、B列から記入すること</t>
  </si>
  <si>
    <t>フェーズ行の直下にそのフェーズのタスクを並べること（順序がツリーに反映される）</t>
  </si>
  <si>
    <t>■ メンテナンス方法</t>
  </si>
  <si>
    <t>操作</t>
  </si>
  <si>
    <t>タスク名・詳細の変更</t>
  </si>
  <si>
    <t>WBS入力シートのC列またはD列を編集</t>
  </si>
  <si>
    <t>自動反映される。作業不要</t>
  </si>
  <si>
    <t>IDの変更</t>
  </si>
  <si>
    <t>WBS入力シートのB列を編集</t>
  </si>
  <si>
    <t>自動反映される。ツリーの階層も自動調整</t>
  </si>
  <si>
    <t>既存行の間にタスク追加</t>
  </si>
  <si>
    <t>WBS入力シートで行を挿入し、データを入力</t>
  </si>
  <si>
    <t>末尾にタスク追加</t>
  </si>
  <si>
    <t>WBS入力シートの末尾に行を追加し、データを入力</t>
  </si>
  <si>
    <t>フェーズの追加</t>
  </si>
  <si>
    <t>フェーズ行（A列のみ）とタスク行を追加</t>
  </si>
  <si>
    <t>タスクの削除</t>
  </si>
  <si>
    <t>WBS入力シートで行を削除</t>
  </si>
  <si>
    <t xml:space="preserve">  手順１：</t>
  </si>
  <si>
    <t>WBSツリー表示シートを開く</t>
  </si>
  <si>
    <t xml:space="preserve">  手順２：</t>
  </si>
  <si>
    <t>データ最終行（数式が入っている最後の行）を選択</t>
  </si>
  <si>
    <t xml:space="preserve">  手順３：</t>
  </si>
  <si>
    <t>A・B・C列の3セルを選択し、右下のフィルハンドル（■）を必要行数分下にドラッグ</t>
  </si>
  <si>
    <t xml:space="preserve">  手順４：</t>
  </si>
  <si>
    <t>新しい行に数式がコピーされ、WBS入力のデータが自動表示される</t>
  </si>
  <si>
    <t>■ ツリー表示の仕組み</t>
  </si>
  <si>
    <t>表示記号</t>
  </si>
  <si>
    <t>階層</t>
  </si>
  <si>
    <t>判定ロジック</t>
  </si>
  <si>
    <t>■</t>
  </si>
  <si>
    <t>WBS入力のA列（フェーズ）が空でない行</t>
  </si>
  <si>
    <t xml:space="preserve">  ├─</t>
  </si>
  <si>
    <t>中間タスク</t>
  </si>
  <si>
    <t>B列のIDのドット数が1個以下（例：1.1、2.1）</t>
  </si>
  <si>
    <t xml:space="preserve">  │  ├─</t>
  </si>
  <si>
    <t>末端タスク</t>
  </si>
  <si>
    <t>B列のIDのドット数が2個以上（例：1.1.1、3.2.2）</t>
  </si>
  <si>
    <t>書式：</t>
  </si>
  <si>
    <t>青背景 + 太字 + 11pt（条件付き書式で自動適用）</t>
  </si>
  <si>
    <t>太字（条件付き書式で自動適用）</t>
  </si>
  <si>
    <t>通常書式</t>
  </si>
  <si>
    <t>WBS 使い方ガイド</t>
  </si>
  <si>
    <t>▲ セルの直接編集禁止（数式が壊れます）。行追加・数式コピーはOK</t>
  </si>
  <si>
    <t>ツリー側の数式予備行の範囲内であれば自動反映。超える場合は下記手順で数式を拡張</t>
  </si>
  <si>
    <t>■ 「WBSツリー表示」側で数式拡張が必要な場合の手順</t>
  </si>
  <si>
    <t>ツリー表示の数式予備行を超えてWBS入力に行が増えた場合（末尾追加・途中挿入とも）、ツリー側の数式範囲を広げる必要があります。</t>
  </si>
  <si>
    <t>※ 予備行に余裕があれば、この作業は不要です。現在の数式範囲は100行目までです。</t>
  </si>
  <si>
    <t>人事業務BPOベンダー変更プロジェクト WBS</t>
  </si>
  <si>
    <t>ツリー側にも行追加が必要。下記手順参照</t>
  </si>
  <si>
    <t>WBS入力シート対応</t>
  </si>
  <si>
    <t>WBSツリー側対応</t>
  </si>
  <si>
    <t>フェーズ / タスク名</t>
  </si>
  <si>
    <t>削除された行が#REF!エラーとなる。ツリー側数式の再設定(エラーのない行からコピー&amp;ペースト)が必要。</t>
  </si>
  <si>
    <t>メモ</t>
  </si>
  <si>
    <t>全業務フロー図改定(1.1.1)と各業務棚卸し表(1.1.5以降)を別成果物として管理（大規模プロジェクト向き）。フロー図改訂の中で業務領域ごとに整理することも可能（小〜中規模向き）</t>
  </si>
  <si>
    <t>1.1.5以降に各アウトソース業務を追加</t>
  </si>
  <si>
    <t>あいうえお</t>
  </si>
  <si>
    <t>かきくけこ</t>
  </si>
  <si>
    <t>HCM, 給与システム等との連携項目定義</t>
  </si>
  <si>
    <t>担当者</t>
  </si>
  <si>
    <t>予定開始日</t>
  </si>
  <si>
    <t>予定完了日</t>
  </si>
  <si>
    <t>実績完了日</t>
  </si>
  <si>
    <t>ステータス</t>
  </si>
  <si>
    <t>あおき</t>
  </si>
  <si>
    <t>うえだ</t>
  </si>
  <si>
    <t>進行中</t>
  </si>
  <si>
    <t>未着手</t>
  </si>
  <si>
    <t>実績開始日</t>
  </si>
  <si>
    <t>6.2</t>
  </si>
  <si>
    <t>1.1.9</t>
  </si>
  <si>
    <t>1.1.10</t>
  </si>
  <si>
    <t>タスクの依存関係に関するメモ・コメント</t>
  </si>
  <si>
    <t>タスク間依存関係メモ</t>
  </si>
  <si>
    <t>Ver.0.1</t>
  </si>
  <si>
    <t>1.1.1（業務フロー図）完了後に実施が望ましい</t>
  </si>
  <si>
    <t>1.1.1, 1.1.2 の成果物をインプットとする</t>
  </si>
  <si>
    <t>1.1.1 完了後に着手</t>
  </si>
  <si>
    <t>1.1 全タスク完了が前提</t>
  </si>
  <si>
    <t>1.3（予算・スケジュール）承認後に開始</t>
  </si>
  <si>
    <t>2.1 の回答受領後に評価開始</t>
  </si>
  <si>
    <t>2.2（ベンダー選定）完了が前提</t>
  </si>
  <si>
    <t>3.1（TO-BE設計）と並行可</t>
  </si>
  <si>
    <t>3.1, 3.2, 3.3 すべて完了後に開始</t>
  </si>
  <si>
    <t>4.1（UAT）合格が前提</t>
  </si>
  <si>
    <t>5.1（パラレルラン）の検証結果承認後に実施</t>
  </si>
  <si>
    <t xml:space="preserve">  K列（タスク間依存関係メモ）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</si>
</sst>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Meiryo UI"/>
      <family val="2"/>
    </font>
    <font>
      <sz val="10"/>
      <color theme="1"/>
      <name val="Meiryo UI"/>
      <family val="2"/>
    </font>
    <font>
      <b/>
      <sz val="11"/>
      <color theme="1"/>
      <name val="Meiryo UI"/>
      <family val="2"/>
    </font>
    <font>
      <b/>
      <sz val="16"/>
      <color rgb="FF1F3864"/>
      <name val="Meiryo UI"/>
      <family val="2"/>
    </font>
    <font>
      <b/>
      <sz val="12"/>
      <color rgb="FF1F3864"/>
      <name val="Meiryo UI"/>
      <family val="2"/>
    </font>
    <font>
      <b/>
      <sz val="11"/>
      <color rgb="FFFFFFFF"/>
      <name val="Meiryo UI"/>
      <family val="2"/>
    </font>
    <font>
      <sz val="11"/>
      <color rgb="FFFF0000"/>
      <name val="Meiryo UI"/>
      <family val="2"/>
    </font>
    <font>
      <b/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9"/>
      <color rgb="FFFFFFFF"/>
      <name val="Aptos Narrow"/>
      <family val="2"/>
      <scheme val="minor"/>
    </font>
    <font>
      <b/>
      <sz val="11"/>
      <name val="Meiryo UI"/>
      <family val="2"/>
    </font>
    <font>
      <b/>
      <sz val="9"/>
      <color rgb="FFFFFFFF"/>
      <name val="Aptos Narrow"/>
      <scheme val="minor"/>
    </font>
    <font>
      <sz val="11"/>
      <color rgb="FF000000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Meiryo U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medium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8" fillId="2" borderId="2" xfId="0" applyFont="1" applyFill="1" applyBorder="1"/>
    <xf numFmtId="0" fontId="5" fillId="0" borderId="3" xfId="0" applyFont="1" applyBorder="1"/>
    <xf numFmtId="0" fontId="3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0" fontId="1" fillId="0" borderId="0" xfId="0" applyFont="1" applyAlignment="1">
      <alignment horizontal="left"/>
    </xf>
    <xf numFmtId="1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2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3" fillId="0" borderId="0" xfId="0" applyFont="1"/>
    <xf numFmtId="49" fontId="1" fillId="0" borderId="0" xfId="0" applyNumberFormat="1" applyFont="1"/>
    <xf numFmtId="49" fontId="12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4" fontId="15" fillId="0" borderId="4" xfId="0" applyNumberFormat="1" applyFont="1" applyBorder="1" applyAlignment="1">
      <alignment horizontal="center"/>
    </xf>
    <xf numFmtId="14" fontId="15" fillId="0" borderId="0" xfId="0" applyNumberFormat="1" applyFont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7" fillId="4" borderId="0" xfId="0" applyFont="1" applyFill="1"/>
    <xf numFmtId="0" fontId="0" fillId="0" borderId="0" xfId="0" applyAlignment="1">
      <alignment horizontal="left"/>
    </xf>
    <xf numFmtId="0" fontId="14" fillId="2" borderId="6" xfId="0" applyFont="1" applyFill="1" applyBorder="1" applyAlignment="1">
      <alignment horizontal="left"/>
    </xf>
    <xf numFmtId="0" fontId="15" fillId="0" borderId="0" xfId="0" applyFont="1" applyAlignment="1">
      <alignment horizontal="left"/>
    </xf>
  </cellXfs>
  <cellStyles count="1">
    <cellStyle name="Normal" xfId="0" builtinId="0"/>
  </cellStyles>
  <dxfs count="14">
    <dxf>
      <font>
        <color rgb="FFA0A0A0"/>
      </font>
      <fill>
        <patternFill patternType="solid">
          <fgColor indexed="64"/>
          <bgColor rgb="FFE0E0E0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4E79"/>
      </font>
      <fill>
        <patternFill patternType="solid">
          <fgColor indexed="64"/>
          <bgColor rgb="FFD6E4F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</font>
    </dxf>
    <dxf>
      <font>
        <b/>
        <i val="0"/>
      </font>
      <fill>
        <patternFill patternType="solid">
          <fgColor indexed="64"/>
          <bgColor rgb="FFD6E4F0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4E79"/>
      </font>
      <fill>
        <patternFill patternType="solid">
          <fgColor indexed="64"/>
          <bgColor rgb="FFD6E4F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A0A0A0"/>
      </font>
      <fill>
        <patternFill patternType="solid">
          <fgColor indexed="64"/>
          <bgColor rgb="FFE0E0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FABE39-2A3E-4ABD-B380-F92AB20FC45B}">
  <we:reference id="WA200009404" version="1.0.0.8" store="Omex" storeType="OMEX"/>
  <we:alternateReferences>
    <we:reference id="WA200009404" version="1.0.0.8" store="" storeType="OMEX"/>
  </we:alternateReferences>
  <we:properties>
    <we:property name="claude.fileId" value="&quot;a22654a7-936b-4d55-b786-2ba42b88063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7FA8-15DC-43F7-A7DD-AF0F8570FC3D}">
  <sheetPr>
    <tabColor theme="4" tint="0.79998168889431442"/>
  </sheetPr>
  <dimension ref="A1:L41"/>
  <sheetViews>
    <sheetView tabSelected="1"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3" sqref="A3"/>
    </sheetView>
  </sheetViews>
  <sheetFormatPr defaultRowHeight="14.4" outlineLevelCol="1" x14ac:dyDescent="0.3"/>
  <cols>
    <col min="1" max="1" width="25.44140625" style="15" customWidth="1"/>
    <col min="2" max="2" width="8.6640625" style="22" customWidth="1"/>
    <col min="3" max="3" width="39.44140625" customWidth="1"/>
    <col min="4" max="4" width="60.33203125" customWidth="1"/>
    <col min="5" max="5" width="13.33203125" customWidth="1"/>
    <col min="6" max="9" width="16.6640625" customWidth="1" outlineLevel="1"/>
    <col min="10" max="10" width="15.77734375" customWidth="1"/>
    <col min="11" max="11" width="23.6640625" style="33" customWidth="1"/>
    <col min="12" max="12" width="72" customWidth="1"/>
  </cols>
  <sheetData>
    <row r="1" spans="1:12" ht="18" x14ac:dyDescent="0.35">
      <c r="A1" s="20" t="s">
        <v>161</v>
      </c>
      <c r="D1" s="17" t="s">
        <v>188</v>
      </c>
    </row>
    <row r="2" spans="1:12" x14ac:dyDescent="0.3">
      <c r="D2" s="16">
        <v>46133</v>
      </c>
    </row>
    <row r="3" spans="1:12" x14ac:dyDescent="0.3">
      <c r="D3" s="16"/>
    </row>
    <row r="4" spans="1:12" ht="15" thickBot="1" x14ac:dyDescent="0.35">
      <c r="A4" s="19" t="s">
        <v>43</v>
      </c>
      <c r="B4" s="23" t="s">
        <v>44</v>
      </c>
      <c r="C4" s="19" t="s">
        <v>0</v>
      </c>
      <c r="D4" s="19" t="s">
        <v>1</v>
      </c>
      <c r="E4" s="26" t="s">
        <v>173</v>
      </c>
      <c r="F4" s="26" t="s">
        <v>174</v>
      </c>
      <c r="G4" s="26" t="s">
        <v>175</v>
      </c>
      <c r="H4" s="26" t="s">
        <v>182</v>
      </c>
      <c r="I4" s="26" t="s">
        <v>176</v>
      </c>
      <c r="J4" s="26" t="s">
        <v>177</v>
      </c>
      <c r="K4" s="34" t="s">
        <v>187</v>
      </c>
      <c r="L4" s="19" t="s">
        <v>167</v>
      </c>
    </row>
    <row r="5" spans="1:12" x14ac:dyDescent="0.3">
      <c r="A5" s="15" t="s">
        <v>45</v>
      </c>
      <c r="B5" s="24"/>
      <c r="E5" s="29"/>
      <c r="F5" s="27"/>
      <c r="G5" s="27"/>
      <c r="H5" s="27"/>
      <c r="I5" s="27"/>
      <c r="J5" s="29"/>
      <c r="K5" s="35"/>
    </row>
    <row r="6" spans="1:12" x14ac:dyDescent="0.3">
      <c r="B6" s="24">
        <v>1.1000000000000001</v>
      </c>
      <c r="C6" t="s">
        <v>2</v>
      </c>
      <c r="D6" t="s">
        <v>46</v>
      </c>
      <c r="E6" s="30" t="s">
        <v>178</v>
      </c>
      <c r="F6" s="28">
        <v>46113</v>
      </c>
      <c r="G6" s="28">
        <v>46143</v>
      </c>
      <c r="H6" s="28">
        <v>46113</v>
      </c>
      <c r="I6" s="28"/>
      <c r="J6" s="30" t="s">
        <v>180</v>
      </c>
      <c r="K6" s="35"/>
    </row>
    <row r="7" spans="1:12" x14ac:dyDescent="0.3">
      <c r="B7" s="24" t="s">
        <v>3</v>
      </c>
      <c r="C7" t="s">
        <v>4</v>
      </c>
      <c r="D7" t="s">
        <v>5</v>
      </c>
      <c r="E7" s="30" t="s">
        <v>178</v>
      </c>
      <c r="F7" s="28">
        <v>46113</v>
      </c>
      <c r="G7" s="28">
        <v>46143</v>
      </c>
      <c r="H7" s="28">
        <v>46115</v>
      </c>
      <c r="I7" s="28"/>
      <c r="J7" s="30" t="s">
        <v>180</v>
      </c>
      <c r="K7" s="35" t="s">
        <v>189</v>
      </c>
      <c r="L7" t="s">
        <v>168</v>
      </c>
    </row>
    <row r="8" spans="1:12" x14ac:dyDescent="0.3">
      <c r="B8" s="24" t="s">
        <v>6</v>
      </c>
      <c r="C8" t="s">
        <v>7</v>
      </c>
      <c r="D8" t="s">
        <v>8</v>
      </c>
      <c r="E8" s="30" t="s">
        <v>179</v>
      </c>
      <c r="F8" s="28">
        <v>46113</v>
      </c>
      <c r="G8" s="28">
        <v>46127</v>
      </c>
      <c r="H8" s="28"/>
      <c r="I8" s="28"/>
      <c r="J8" s="30" t="s">
        <v>181</v>
      </c>
      <c r="K8" s="35" t="s">
        <v>190</v>
      </c>
    </row>
    <row r="9" spans="1:12" x14ac:dyDescent="0.3">
      <c r="B9" s="24" t="s">
        <v>9</v>
      </c>
      <c r="C9" t="s">
        <v>10</v>
      </c>
      <c r="D9" t="s">
        <v>66</v>
      </c>
      <c r="E9" s="30"/>
      <c r="F9" s="28"/>
      <c r="G9" s="28"/>
      <c r="H9" s="28"/>
      <c r="I9" s="28"/>
      <c r="J9" s="30"/>
      <c r="K9" s="35" t="s">
        <v>191</v>
      </c>
    </row>
    <row r="10" spans="1:12" x14ac:dyDescent="0.3">
      <c r="B10" s="24" t="s">
        <v>11</v>
      </c>
      <c r="C10" t="s">
        <v>12</v>
      </c>
      <c r="D10" t="s">
        <v>13</v>
      </c>
      <c r="E10" s="30"/>
      <c r="F10" s="28"/>
      <c r="G10" s="28"/>
      <c r="H10" s="28"/>
      <c r="I10" s="28"/>
      <c r="J10" s="30"/>
      <c r="K10" s="35"/>
    </row>
    <row r="11" spans="1:12" x14ac:dyDescent="0.3">
      <c r="B11" s="24" t="s">
        <v>67</v>
      </c>
      <c r="C11" t="s">
        <v>68</v>
      </c>
      <c r="D11" t="s">
        <v>69</v>
      </c>
      <c r="E11" s="30"/>
      <c r="F11" s="28"/>
      <c r="G11" s="28"/>
      <c r="H11" s="28"/>
      <c r="I11" s="28"/>
      <c r="J11" s="30"/>
      <c r="K11" s="35"/>
      <c r="L11" t="s">
        <v>169</v>
      </c>
    </row>
    <row r="12" spans="1:12" x14ac:dyDescent="0.3">
      <c r="B12" s="24" t="s">
        <v>70</v>
      </c>
      <c r="C12" t="s">
        <v>71</v>
      </c>
      <c r="D12" t="s">
        <v>72</v>
      </c>
      <c r="E12" s="30"/>
      <c r="F12" s="28"/>
      <c r="G12" s="28"/>
      <c r="H12" s="28"/>
      <c r="I12" s="28"/>
      <c r="J12" s="30"/>
      <c r="K12" s="35"/>
    </row>
    <row r="13" spans="1:12" x14ac:dyDescent="0.3">
      <c r="B13" s="24" t="s">
        <v>73</v>
      </c>
      <c r="C13" t="s">
        <v>74</v>
      </c>
      <c r="D13" t="s">
        <v>75</v>
      </c>
      <c r="E13" s="30"/>
      <c r="F13" s="28"/>
      <c r="G13" s="28"/>
      <c r="H13" s="28"/>
      <c r="I13" s="28"/>
      <c r="J13" s="30"/>
      <c r="K13" s="35"/>
    </row>
    <row r="14" spans="1:12" x14ac:dyDescent="0.3">
      <c r="B14" s="24" t="s">
        <v>76</v>
      </c>
      <c r="C14" t="s">
        <v>77</v>
      </c>
      <c r="D14" t="s">
        <v>78</v>
      </c>
      <c r="E14" s="30"/>
      <c r="F14" s="28"/>
      <c r="G14" s="28"/>
      <c r="H14" s="28"/>
      <c r="I14" s="28"/>
      <c r="J14" s="30"/>
      <c r="K14" s="35"/>
    </row>
    <row r="15" spans="1:12" x14ac:dyDescent="0.3">
      <c r="B15" s="24" t="s">
        <v>184</v>
      </c>
      <c r="C15" t="s">
        <v>80</v>
      </c>
      <c r="D15" t="s">
        <v>170</v>
      </c>
      <c r="E15" s="30"/>
      <c r="F15" s="28"/>
      <c r="G15" s="28"/>
      <c r="H15" s="28"/>
      <c r="I15" s="28"/>
      <c r="J15" s="30"/>
      <c r="K15" s="35"/>
    </row>
    <row r="16" spans="1:12" x14ac:dyDescent="0.3">
      <c r="B16" s="24" t="s">
        <v>185</v>
      </c>
      <c r="C16" t="s">
        <v>81</v>
      </c>
      <c r="D16" t="s">
        <v>171</v>
      </c>
      <c r="E16" s="30"/>
      <c r="F16" s="28"/>
      <c r="G16" s="28"/>
      <c r="H16" s="28"/>
      <c r="I16" s="28"/>
      <c r="J16" s="30"/>
      <c r="K16" s="35"/>
    </row>
    <row r="17" spans="1:11" x14ac:dyDescent="0.3">
      <c r="B17" s="24">
        <v>1.3</v>
      </c>
      <c r="C17" t="s">
        <v>14</v>
      </c>
      <c r="D17" t="s">
        <v>47</v>
      </c>
      <c r="E17" s="30"/>
      <c r="F17" s="28"/>
      <c r="G17" s="28"/>
      <c r="H17" s="28"/>
      <c r="I17" s="28"/>
      <c r="J17" s="30"/>
      <c r="K17" s="35"/>
    </row>
    <row r="18" spans="1:11" x14ac:dyDescent="0.3">
      <c r="B18" s="24" t="s">
        <v>15</v>
      </c>
      <c r="C18" t="s">
        <v>48</v>
      </c>
      <c r="D18" t="s">
        <v>49</v>
      </c>
      <c r="E18" s="30"/>
      <c r="F18" s="28"/>
      <c r="G18" s="28"/>
      <c r="H18" s="28"/>
      <c r="I18" s="28"/>
      <c r="J18" s="30"/>
      <c r="K18" s="35" t="s">
        <v>192</v>
      </c>
    </row>
    <row r="19" spans="1:11" x14ac:dyDescent="0.3">
      <c r="B19" s="24" t="s">
        <v>16</v>
      </c>
      <c r="C19" t="s">
        <v>17</v>
      </c>
      <c r="D19" t="s">
        <v>18</v>
      </c>
      <c r="E19" s="30"/>
      <c r="F19" s="28"/>
      <c r="G19" s="28"/>
      <c r="H19" s="28"/>
      <c r="I19" s="28"/>
      <c r="J19" s="30"/>
      <c r="K19" s="35" t="s">
        <v>193</v>
      </c>
    </row>
    <row r="20" spans="1:11" x14ac:dyDescent="0.3">
      <c r="B20" s="24" t="s">
        <v>19</v>
      </c>
      <c r="C20" t="s">
        <v>20</v>
      </c>
      <c r="D20" t="s">
        <v>21</v>
      </c>
      <c r="E20" s="30"/>
      <c r="F20" s="28"/>
      <c r="G20" s="28"/>
      <c r="H20" s="28"/>
      <c r="I20" s="28"/>
      <c r="J20" s="30"/>
      <c r="K20" s="35" t="s">
        <v>194</v>
      </c>
    </row>
    <row r="21" spans="1:11" x14ac:dyDescent="0.3">
      <c r="A21" s="15" t="s">
        <v>50</v>
      </c>
      <c r="B21" s="24"/>
      <c r="E21" s="30"/>
      <c r="F21" s="28"/>
      <c r="G21" s="28"/>
      <c r="H21" s="28"/>
      <c r="I21" s="28"/>
      <c r="J21" s="30"/>
      <c r="K21" s="35"/>
    </row>
    <row r="22" spans="1:11" x14ac:dyDescent="0.3">
      <c r="B22" s="24">
        <v>2.1</v>
      </c>
      <c r="C22" t="s">
        <v>51</v>
      </c>
      <c r="D22" t="s">
        <v>52</v>
      </c>
      <c r="E22" s="30"/>
      <c r="F22" s="28"/>
      <c r="G22" s="28"/>
      <c r="H22" s="28"/>
      <c r="I22" s="28"/>
      <c r="J22" s="30"/>
      <c r="K22" s="35" t="s">
        <v>195</v>
      </c>
    </row>
    <row r="23" spans="1:11" x14ac:dyDescent="0.3">
      <c r="B23" s="24">
        <v>2.2000000000000002</v>
      </c>
      <c r="C23" t="s">
        <v>53</v>
      </c>
      <c r="D23" t="s">
        <v>54</v>
      </c>
      <c r="E23" s="30"/>
      <c r="F23" s="28"/>
      <c r="G23" s="28"/>
      <c r="H23" s="28"/>
      <c r="I23" s="28"/>
      <c r="J23" s="30"/>
      <c r="K23" s="35" t="s">
        <v>196</v>
      </c>
    </row>
    <row r="24" spans="1:11" x14ac:dyDescent="0.3">
      <c r="A24" s="15" t="s">
        <v>22</v>
      </c>
      <c r="B24" s="24"/>
      <c r="E24" s="30"/>
      <c r="F24" s="28"/>
      <c r="G24" s="28"/>
      <c r="H24" s="28"/>
      <c r="I24" s="28"/>
      <c r="J24" s="30"/>
      <c r="K24" s="35"/>
    </row>
    <row r="25" spans="1:11" x14ac:dyDescent="0.3">
      <c r="B25" s="24">
        <v>3.1</v>
      </c>
      <c r="C25" t="s">
        <v>23</v>
      </c>
      <c r="D25" t="s">
        <v>55</v>
      </c>
      <c r="E25" s="30"/>
      <c r="F25" s="28"/>
      <c r="G25" s="28"/>
      <c r="H25" s="28"/>
      <c r="I25" s="28"/>
      <c r="J25" s="30"/>
      <c r="K25" s="35"/>
    </row>
    <row r="26" spans="1:11" x14ac:dyDescent="0.3">
      <c r="B26" s="24" t="s">
        <v>24</v>
      </c>
      <c r="C26" t="s">
        <v>25</v>
      </c>
      <c r="D26" t="s">
        <v>26</v>
      </c>
      <c r="E26" s="30"/>
      <c r="F26" s="28"/>
      <c r="G26" s="28"/>
      <c r="H26" s="28"/>
      <c r="I26" s="28"/>
      <c r="J26" s="30"/>
      <c r="K26" s="35"/>
    </row>
    <row r="27" spans="1:11" x14ac:dyDescent="0.3">
      <c r="B27" s="24" t="s">
        <v>27</v>
      </c>
      <c r="C27" t="s">
        <v>28</v>
      </c>
      <c r="D27" t="s">
        <v>29</v>
      </c>
      <c r="E27" s="30"/>
      <c r="F27" s="28"/>
      <c r="G27" s="28"/>
      <c r="H27" s="28"/>
      <c r="I27" s="28"/>
      <c r="J27" s="30"/>
      <c r="K27" s="35"/>
    </row>
    <row r="28" spans="1:11" x14ac:dyDescent="0.3">
      <c r="B28" s="24">
        <v>3.2</v>
      </c>
      <c r="C28" t="s">
        <v>30</v>
      </c>
      <c r="D28" t="s">
        <v>56</v>
      </c>
      <c r="E28" s="30"/>
      <c r="F28" s="28"/>
      <c r="G28" s="28"/>
      <c r="H28" s="28"/>
      <c r="I28" s="28"/>
      <c r="J28" s="30"/>
      <c r="K28" s="35"/>
    </row>
    <row r="29" spans="1:11" x14ac:dyDescent="0.3">
      <c r="B29" s="24" t="s">
        <v>31</v>
      </c>
      <c r="C29" t="s">
        <v>32</v>
      </c>
      <c r="D29" t="s">
        <v>172</v>
      </c>
      <c r="E29" s="30"/>
      <c r="F29" s="28"/>
      <c r="G29" s="28"/>
      <c r="H29" s="28"/>
      <c r="I29" s="28"/>
      <c r="J29" s="30"/>
      <c r="K29" s="35"/>
    </row>
    <row r="30" spans="1:11" x14ac:dyDescent="0.3">
      <c r="B30" s="24" t="s">
        <v>33</v>
      </c>
      <c r="C30" t="s">
        <v>34</v>
      </c>
      <c r="D30" t="s">
        <v>35</v>
      </c>
      <c r="E30" s="30"/>
      <c r="F30" s="28"/>
      <c r="G30" s="28"/>
      <c r="H30" s="28"/>
      <c r="I30" s="28"/>
      <c r="J30" s="30"/>
      <c r="K30" s="35" t="s">
        <v>197</v>
      </c>
    </row>
    <row r="31" spans="1:11" x14ac:dyDescent="0.3">
      <c r="B31" s="24">
        <v>3.3</v>
      </c>
      <c r="C31" t="s">
        <v>36</v>
      </c>
      <c r="D31" t="s">
        <v>57</v>
      </c>
      <c r="E31" s="30"/>
      <c r="F31" s="28"/>
      <c r="G31" s="28"/>
      <c r="H31" s="28"/>
      <c r="I31" s="28"/>
      <c r="J31" s="30"/>
      <c r="K31" s="35"/>
    </row>
    <row r="32" spans="1:11" x14ac:dyDescent="0.3">
      <c r="B32" s="24" t="s">
        <v>37</v>
      </c>
      <c r="C32" t="s">
        <v>38</v>
      </c>
      <c r="D32" t="s">
        <v>39</v>
      </c>
      <c r="E32" s="30"/>
      <c r="F32" s="28"/>
      <c r="G32" s="28"/>
      <c r="H32" s="28"/>
      <c r="I32" s="28"/>
      <c r="J32" s="30"/>
      <c r="K32" s="35" t="s">
        <v>198</v>
      </c>
    </row>
    <row r="33" spans="1:11" x14ac:dyDescent="0.3">
      <c r="B33" s="24" t="s">
        <v>40</v>
      </c>
      <c r="C33" t="s">
        <v>41</v>
      </c>
      <c r="D33" t="s">
        <v>42</v>
      </c>
      <c r="E33" s="30"/>
      <c r="F33" s="28"/>
      <c r="G33" s="28"/>
      <c r="H33" s="28"/>
      <c r="I33" s="28"/>
      <c r="J33" s="30"/>
      <c r="K33" s="35" t="s">
        <v>199</v>
      </c>
    </row>
    <row r="34" spans="1:11" x14ac:dyDescent="0.3">
      <c r="A34" s="15" t="s">
        <v>58</v>
      </c>
      <c r="B34" s="24"/>
      <c r="E34" s="30"/>
      <c r="F34" s="28"/>
      <c r="G34" s="28"/>
      <c r="H34" s="28"/>
      <c r="I34" s="28"/>
      <c r="J34" s="30"/>
      <c r="K34" s="35"/>
    </row>
    <row r="35" spans="1:11" x14ac:dyDescent="0.3">
      <c r="B35" s="24">
        <v>4.0999999999999996</v>
      </c>
      <c r="C35" t="s">
        <v>59</v>
      </c>
      <c r="D35" t="s">
        <v>60</v>
      </c>
      <c r="E35" s="30"/>
      <c r="F35" s="28"/>
      <c r="G35" s="28"/>
      <c r="H35" s="28"/>
      <c r="I35" s="28"/>
      <c r="J35" s="30"/>
      <c r="K35" s="35"/>
    </row>
    <row r="36" spans="1:11" x14ac:dyDescent="0.3">
      <c r="A36" s="15" t="s">
        <v>61</v>
      </c>
      <c r="B36" s="24"/>
      <c r="E36" s="30"/>
      <c r="F36" s="28"/>
      <c r="G36" s="28"/>
      <c r="H36" s="28"/>
      <c r="I36" s="28"/>
      <c r="J36" s="30"/>
      <c r="K36" s="35"/>
    </row>
    <row r="37" spans="1:11" x14ac:dyDescent="0.3">
      <c r="B37" s="24">
        <v>5.0999999999999996</v>
      </c>
      <c r="C37" t="s">
        <v>62</v>
      </c>
      <c r="D37" t="s">
        <v>63</v>
      </c>
      <c r="E37" s="30"/>
      <c r="F37" s="28"/>
      <c r="G37" s="28"/>
      <c r="H37" s="28"/>
      <c r="I37" s="28"/>
      <c r="J37" s="30"/>
      <c r="K37" s="35"/>
    </row>
    <row r="38" spans="1:11" x14ac:dyDescent="0.3">
      <c r="B38" s="24">
        <v>5.2</v>
      </c>
      <c r="C38" t="s">
        <v>64</v>
      </c>
      <c r="D38" t="s">
        <v>65</v>
      </c>
      <c r="E38" s="30"/>
      <c r="F38" s="28"/>
      <c r="G38" s="28"/>
      <c r="H38" s="28"/>
      <c r="I38" s="28"/>
      <c r="J38" s="30"/>
      <c r="K38" s="35"/>
    </row>
    <row r="39" spans="1:11" x14ac:dyDescent="0.3">
      <c r="A39" s="15" t="s">
        <v>79</v>
      </c>
      <c r="B39" s="24"/>
      <c r="E39" s="30"/>
      <c r="F39" s="28"/>
      <c r="G39" s="28"/>
      <c r="H39" s="28"/>
      <c r="I39" s="28"/>
      <c r="J39" s="30"/>
      <c r="K39" s="35"/>
    </row>
    <row r="40" spans="1:11" x14ac:dyDescent="0.3">
      <c r="B40" s="24">
        <v>6.1</v>
      </c>
      <c r="C40" t="s">
        <v>80</v>
      </c>
      <c r="D40" t="s">
        <v>170</v>
      </c>
      <c r="E40" s="30"/>
      <c r="F40" s="28"/>
      <c r="G40" s="28"/>
      <c r="H40" s="28"/>
      <c r="I40" s="28"/>
      <c r="J40" s="30"/>
      <c r="K40" s="35"/>
    </row>
    <row r="41" spans="1:11" x14ac:dyDescent="0.3">
      <c r="B41" s="24" t="s">
        <v>183</v>
      </c>
      <c r="C41" t="s">
        <v>81</v>
      </c>
      <c r="D41" t="s">
        <v>171</v>
      </c>
      <c r="E41" s="30"/>
      <c r="F41" s="28"/>
      <c r="G41" s="28"/>
      <c r="H41" s="28"/>
      <c r="I41" s="28"/>
      <c r="J41" s="30"/>
      <c r="K41" s="35"/>
    </row>
  </sheetData>
  <autoFilter ref="A4:L4" xr:uid="{790B7FA8-15DC-43F7-A7DD-AF0F8570FC3D}"/>
  <phoneticPr fontId="16" type="noConversion"/>
  <conditionalFormatting sqref="J5:K41">
    <cfRule type="cellIs" dxfId="13" priority="6" operator="equal">
      <formula>"中止"</formula>
    </cfRule>
  </conditionalFormatting>
  <conditionalFormatting sqref="J5:L41">
    <cfRule type="cellIs" dxfId="12" priority="1" operator="equal">
      <formula>"完了"</formula>
    </cfRule>
    <cfRule type="cellIs" dxfId="11" priority="2" operator="equal">
      <formula>"進行中"</formula>
    </cfRule>
    <cfRule type="cellIs" dxfId="10" priority="3" operator="equal">
      <formula>"遅延"</formula>
    </cfRule>
    <cfRule type="cellIs" dxfId="9" priority="4" operator="equal">
      <formula>"保留"</formula>
    </cfRule>
    <cfRule type="cellIs" dxfId="8" priority="5" operator="equal">
      <formula>"未着手"</formula>
    </cfRule>
  </conditionalFormatting>
  <dataValidations count="2">
    <dataValidation type="list" allowBlank="1" showInputMessage="1" showErrorMessage="1" errorTitle="入力エラー" error="リストから選択してください：未着手, 進行中, 完了, 遅延, 保留, 中止" promptTitle="ステータス" prompt="ドロップダウンから選択してください" sqref="J5:J41" xr:uid="{464CC6E4-B570-49C4-A469-BECFD1047C12}">
      <formula1>"未着手,進行中,完了,遅延,保留,中止"</formula1>
    </dataValidation>
    <dataValidation allowBlank="1" showInputMessage="1" sqref="K1:L1048576" xr:uid="{F758410E-30FE-472C-ABF3-F519DB12B703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51CB-BE9D-451D-ACFC-B28DB50339C6}">
  <dimension ref="A1:E101"/>
  <sheetViews>
    <sheetView zoomScale="85" zoomScaleNormal="85" workbookViewId="0">
      <pane ySplit="4" topLeftCell="A5" activePane="bottomLeft" state="frozen"/>
      <selection pane="bottomLeft" activeCell="J13" sqref="J13"/>
    </sheetView>
  </sheetViews>
  <sheetFormatPr defaultRowHeight="14.4" x14ac:dyDescent="0.3"/>
  <cols>
    <col min="1" max="1" width="11.109375" customWidth="1"/>
    <col min="2" max="2" width="59.21875" customWidth="1"/>
    <col min="3" max="3" width="64.77734375" customWidth="1"/>
    <col min="4" max="5" width="13" customWidth="1"/>
  </cols>
  <sheetData>
    <row r="1" spans="1:5" ht="18" x14ac:dyDescent="0.35">
      <c r="A1" s="1" t="str">
        <f>WBS入力!A1&amp;"ツリー"</f>
        <v>人事業務BPOベンダー変更プロジェクト WBSツリー</v>
      </c>
      <c r="C1" s="17" t="str">
        <f>WBS入力!D1</f>
        <v>Ver.0.1</v>
      </c>
    </row>
    <row r="2" spans="1:5" x14ac:dyDescent="0.3">
      <c r="C2" s="18">
        <f>WBS入力!D2</f>
        <v>46133</v>
      </c>
    </row>
    <row r="4" spans="1:5" ht="15" thickBot="1" x14ac:dyDescent="0.35">
      <c r="A4" s="19" t="s">
        <v>44</v>
      </c>
      <c r="B4" s="19" t="s">
        <v>165</v>
      </c>
      <c r="C4" s="19" t="s">
        <v>1</v>
      </c>
      <c r="D4" s="25" t="s">
        <v>173</v>
      </c>
      <c r="E4" s="25" t="s">
        <v>177</v>
      </c>
    </row>
    <row r="5" spans="1:5" x14ac:dyDescent="0.3">
      <c r="A5" s="4" t="str">
        <f>IF(AND(WBS入力!A5="",WBS入力!B5=""),"",IF(WBS入力!A5&lt;&gt;"","★",WBS入力!B5))</f>
        <v>★</v>
      </c>
      <c r="B5" s="3" t="str">
        <f>IF(AND(WBS入力!A5="",WBS入力!B5=""),"",IF(WBS入力!A5&lt;&gt;"","■ "&amp;WBS入力!A5,IF(LEN(WBS入力!B5)-LEN(SUBSTITUTE(WBS入力!B5,".",""))&lt;=1,"  ├─ "&amp;WBS入力!C5,"  │  ├─ "&amp;WBS入力!C5)))</f>
        <v>■ 1. 企画・現状分析</v>
      </c>
      <c r="C5" s="3" t="str">
        <f>IF(AND(WBS入力!A5="",WBS入力!B5=""),"",IF(WBS入力!A5&lt;&gt;"","",WBS入力!D5))</f>
        <v/>
      </c>
      <c r="D5" s="31" t="str">
        <f>IF(AND(WBS入力!A5="",WBS入力!B5=""),"",IF(WBS入力!A5&lt;&gt;"","",IF(WBS入力!E5="","",WBS入力!E5)))</f>
        <v/>
      </c>
      <c r="E5" s="31" t="str">
        <f>IF(AND(WBS入力!A5="",WBS入力!B5=""),"",IF(WBS入力!A5&lt;&gt;"","",IF(WBS入力!J5="","",WBS入力!J5)))</f>
        <v/>
      </c>
    </row>
    <row r="6" spans="1:5" x14ac:dyDescent="0.3">
      <c r="A6" s="4">
        <f>IF(AND(WBS入力!A6="",WBS入力!B6=""),"",IF(WBS入力!A6&lt;&gt;"","★",WBS入力!B6))</f>
        <v>1.1000000000000001</v>
      </c>
      <c r="B6" s="3" t="str">
        <f>IF(AND(WBS入力!A6="",WBS入力!B6=""),"",IF(WBS入力!A6&lt;&gt;"","■ "&amp;WBS入力!A6,IF(LEN(WBS入力!B6)-LEN(SUBSTITUTE(WBS入力!B6,".",""))&lt;=1,"  ├─ "&amp;WBS入力!C6,"  │  ├─ "&amp;WBS入力!C6)))</f>
        <v xml:space="preserve">  ├─ 現状業務の棚卸し</v>
      </c>
      <c r="C6" s="3" t="str">
        <f>IF(AND(WBS入力!A6="",WBS入力!B6=""),"",IF(WBS入力!A6&lt;&gt;"","",WBS入力!D6))</f>
        <v>対象業務の範囲（スコープ）の明確化</v>
      </c>
      <c r="D6" s="31" t="str">
        <f>IF(AND(WBS入力!A6="",WBS入力!B6=""),"",IF(WBS入力!A6&lt;&gt;"","",IF(WBS入力!E6="","",WBS入力!E6)))</f>
        <v>あおき</v>
      </c>
      <c r="E6" s="31" t="str">
        <f>IF(AND(WBS入力!A6="",WBS入力!B6=""),"",IF(WBS入力!A6&lt;&gt;"","",IF(WBS入力!J6="","",WBS入力!J6)))</f>
        <v>進行中</v>
      </c>
    </row>
    <row r="7" spans="1:5" x14ac:dyDescent="0.3">
      <c r="A7" s="4" t="str">
        <f>IF(AND(WBS入力!A7="",WBS入力!B7=""),"",IF(WBS入力!A7&lt;&gt;"","★",WBS入力!B7))</f>
        <v>1.1.1</v>
      </c>
      <c r="B7" s="3" t="str">
        <f>IF(AND(WBS入力!A7="",WBS入力!B7=""),"",IF(WBS入力!A7&lt;&gt;"","■ "&amp;WBS入力!A7,IF(LEN(WBS入力!B7)-LEN(SUBSTITUTE(WBS入力!B7,".",""))&lt;=1,"  ├─ "&amp;WBS入力!C7,"  │  ├─ "&amp;WBS入力!C7)))</f>
        <v xml:space="preserve">  │  ├─ 現行業務フロー図の改訂</v>
      </c>
      <c r="C7" s="3" t="str">
        <f>IF(AND(WBS入力!A7="",WBS入力!B7=""),"",IF(WBS入力!A7&lt;&gt;"","",WBS入力!D7))</f>
        <v>給与・社保・勤怠のプロセスを最新化し可視化</v>
      </c>
      <c r="D7" s="31" t="str">
        <f>IF(AND(WBS入力!A7="",WBS入力!B7=""),"",IF(WBS入力!A7&lt;&gt;"","",IF(WBS入力!E7="","",WBS入力!E7)))</f>
        <v>あおき</v>
      </c>
      <c r="E7" s="31" t="str">
        <f>IF(AND(WBS入力!A7="",WBS入力!B7=""),"",IF(WBS入力!A7&lt;&gt;"","",IF(WBS入力!J7="","",WBS入力!J7)))</f>
        <v>進行中</v>
      </c>
    </row>
    <row r="8" spans="1:5" x14ac:dyDescent="0.3">
      <c r="A8" s="4" t="str">
        <f>IF(AND(WBS入力!A8="",WBS入力!B8=""),"",IF(WBS入力!A8&lt;&gt;"","★",WBS入力!B8))</f>
        <v>1.1.2</v>
      </c>
      <c r="B8" s="3" t="str">
        <f>IF(AND(WBS入力!A8="",WBS入力!B8=""),"",IF(WBS入力!A8&lt;&gt;"","■ "&amp;WBS入力!A8,IF(LEN(WBS入力!B8)-LEN(SUBSTITUTE(WBS入力!B8,".",""))&lt;=1,"  ├─ "&amp;WBS入力!C8,"  │  ├─ "&amp;WBS入力!C8)))</f>
        <v xml:space="preserve">  │  ├─ 現行SLAの確認と実績評価</v>
      </c>
      <c r="C8" s="3" t="str">
        <f>IF(AND(WBS入力!A8="",WBS入力!B8=""),"",IF(WBS入力!A8&lt;&gt;"","",WBS入力!D8))</f>
        <v>現行ベンダーのパフォーマンスと未達項目の特定</v>
      </c>
      <c r="D8" s="31" t="str">
        <f>IF(AND(WBS入力!A8="",WBS入力!B8=""),"",IF(WBS入力!A8&lt;&gt;"","",IF(WBS入力!E8="","",WBS入力!E8)))</f>
        <v>うえだ</v>
      </c>
      <c r="E8" s="31" t="str">
        <f>IF(AND(WBS入力!A8="",WBS入力!B8=""),"",IF(WBS入力!A8&lt;&gt;"","",IF(WBS入力!J8="","",WBS入力!J8)))</f>
        <v>未着手</v>
      </c>
    </row>
    <row r="9" spans="1:5" x14ac:dyDescent="0.3">
      <c r="A9" s="4" t="str">
        <f>IF(AND(WBS入力!A9="",WBS入力!B9=""),"",IF(WBS入力!A9&lt;&gt;"","★",WBS入力!B9))</f>
        <v>1.1.3</v>
      </c>
      <c r="B9" s="3" t="str">
        <f>IF(AND(WBS入力!A9="",WBS入力!B9=""),"",IF(WBS入力!A9&lt;&gt;"","■ "&amp;WBS入力!A9,IF(LEN(WBS入力!B9)-LEN(SUBSTITUTE(WBS入力!B9,".",""))&lt;=1,"  ├─ "&amp;WBS入力!C9,"  │  ├─ "&amp;WBS入力!C9)))</f>
        <v xml:space="preserve">  │  ├─ 業務分担表（RACI）の作成</v>
      </c>
      <c r="C9" s="3" t="str">
        <f>IF(AND(WBS入力!A9="",WBS入力!B9=""),"",IF(WBS入力!A9&lt;&gt;"","",WBS入力!D9))</f>
        <v>自社人事・IT部門・現行ベンダー間の責任範囲を整理</v>
      </c>
      <c r="D9" s="31" t="str">
        <f>IF(AND(WBS入力!A9="",WBS入力!B9=""),"",IF(WBS入力!A9&lt;&gt;"","",IF(WBS入力!E9="","",WBS入力!E9)))</f>
        <v/>
      </c>
      <c r="E9" s="31" t="str">
        <f>IF(AND(WBS入力!A9="",WBS入力!B9=""),"",IF(WBS入力!A9&lt;&gt;"","",IF(WBS入力!J9="","",WBS入力!J9)))</f>
        <v/>
      </c>
    </row>
    <row r="10" spans="1:5" x14ac:dyDescent="0.3">
      <c r="A10" s="4" t="str">
        <f>IF(AND(WBS入力!A10="",WBS入力!B10=""),"",IF(WBS入力!A10&lt;&gt;"","★",WBS入力!B10))</f>
        <v>1.1.4</v>
      </c>
      <c r="B10" s="3" t="str">
        <f>IF(AND(WBS入力!A10="",WBS入力!B10=""),"",IF(WBS入力!A10&lt;&gt;"","■ "&amp;WBS入力!A10,IF(LEN(WBS入力!B10)-LEN(SUBSTITUTE(WBS入力!B10,".",""))&lt;=1,"  ├─ "&amp;WBS入力!C10,"  │  ├─ "&amp;WBS入力!C10)))</f>
        <v xml:space="preserve">  │  ├─ 例外処理・イレギュラー業務の抽出</v>
      </c>
      <c r="C10" s="3" t="str">
        <f>IF(AND(WBS入力!A10="",WBS入力!B10=""),"",IF(WBS入力!A10&lt;&gt;"","",WBS入力!D10))</f>
        <v>マニュアル化されていない特殊対応の特定</v>
      </c>
      <c r="D10" s="31" t="str">
        <f>IF(AND(WBS入力!A10="",WBS入力!B10=""),"",IF(WBS入力!A10&lt;&gt;"","",IF(WBS入力!E10="","",WBS入力!E10)))</f>
        <v/>
      </c>
      <c r="E10" s="31" t="str">
        <f>IF(AND(WBS入力!A10="",WBS入力!B10=""),"",IF(WBS入力!A10&lt;&gt;"","",IF(WBS入力!J10="","",WBS入力!J10)))</f>
        <v/>
      </c>
    </row>
    <row r="11" spans="1:5" x14ac:dyDescent="0.3">
      <c r="A11" s="4" t="str">
        <f>IF(AND(WBS入力!A11="",WBS入力!B11=""),"",IF(WBS入力!A11&lt;&gt;"","★",WBS入力!B11))</f>
        <v>1.1.5</v>
      </c>
      <c r="B11" s="3" t="str">
        <f>IF(AND(WBS入力!A11="",WBS入力!B11=""),"",IF(WBS入力!A11&lt;&gt;"","■ "&amp;WBS入力!A11,IF(LEN(WBS入力!B11)-LEN(SUBSTITUTE(WBS入力!B11,".",""))&lt;=1,"  ├─ "&amp;WBS入力!C11,"  │  ├─ "&amp;WBS入力!C11)))</f>
        <v xml:space="preserve">  │  ├─ 社会保険・労働保険業務の確認</v>
      </c>
      <c r="C11" s="3" t="str">
        <f>IF(AND(WBS入力!A11="",WBS入力!B11=""),"",IF(WBS入力!A11&lt;&gt;"","",WBS入力!D11))</f>
        <v>健康保険・厚生年金の取得/喪失、算定、月変の運用把握</v>
      </c>
      <c r="D11" s="31" t="str">
        <f>IF(AND(WBS入力!A11="",WBS入力!B11=""),"",IF(WBS入力!A11&lt;&gt;"","",IF(WBS入力!E11="","",WBS入力!E11)))</f>
        <v/>
      </c>
      <c r="E11" s="31" t="str">
        <f>IF(AND(WBS入力!A11="",WBS入力!B11=""),"",IF(WBS入力!A11&lt;&gt;"","",IF(WBS入力!J11="","",WBS入力!J11)))</f>
        <v/>
      </c>
    </row>
    <row r="12" spans="1:5" x14ac:dyDescent="0.3">
      <c r="A12" s="4" t="str">
        <f>IF(AND(WBS入力!A12="",WBS入力!B12=""),"",IF(WBS入力!A12&lt;&gt;"","★",WBS入力!B12))</f>
        <v>1.1.6</v>
      </c>
      <c r="B12" s="3" t="str">
        <f>IF(AND(WBS入力!A12="",WBS入力!B12=""),"",IF(WBS入力!A12&lt;&gt;"","■ "&amp;WBS入力!A12,IF(LEN(WBS入力!B12)-LEN(SUBSTITUTE(WBS入力!B12,".",""))&lt;=1,"  ├─ "&amp;WBS入力!C12,"  │  ├─ "&amp;WBS入力!C12)))</f>
        <v xml:space="preserve">  │  ├─ 退職・休職手続きの確認</v>
      </c>
      <c r="C12" s="3" t="str">
        <f>IF(AND(WBS入力!A12="",WBS入力!B12=""),"",IF(WBS入力!A12&lt;&gt;"","",WBS入力!D12))</f>
        <v>退職金計算、離職票発行、育休・傷病手当運用の可視化</v>
      </c>
      <c r="D12" s="31" t="str">
        <f>IF(AND(WBS入力!A12="",WBS入力!B12=""),"",IF(WBS入力!A12&lt;&gt;"","",IF(WBS入力!E12="","",WBS入力!E12)))</f>
        <v/>
      </c>
      <c r="E12" s="31" t="str">
        <f>IF(AND(WBS入力!A12="",WBS入力!B12=""),"",IF(WBS入力!A12&lt;&gt;"","",IF(WBS入力!J12="","",WBS入力!J12)))</f>
        <v/>
      </c>
    </row>
    <row r="13" spans="1:5" x14ac:dyDescent="0.3">
      <c r="A13" s="4" t="str">
        <f>IF(AND(WBS入力!A13="",WBS入力!B13=""),"",IF(WBS入力!A13&lt;&gt;"","★",WBS入力!B13))</f>
        <v>1.1.7</v>
      </c>
      <c r="B13" s="3" t="str">
        <f>IF(AND(WBS入力!A13="",WBS入力!B13=""),"",IF(WBS入力!A13&lt;&gt;"","■ "&amp;WBS入力!A13,IF(LEN(WBS入力!B13)-LEN(SUBSTITUTE(WBS入力!B13,".",""))&lt;=1,"  ├─ "&amp;WBS入力!C13,"  │  ├─ "&amp;WBS入力!C13)))</f>
        <v xml:space="preserve">  │  ├─ 福利厚生付帯業務の確認</v>
      </c>
      <c r="C13" s="3" t="str">
        <f>IF(AND(WBS入力!A13="",WBS入力!B13=""),"",IF(WBS入力!A13&lt;&gt;"","",WBS入力!D13))</f>
        <v>手当、持株会、財形、健康診断予約連携等の整理</v>
      </c>
      <c r="D13" s="31" t="str">
        <f>IF(AND(WBS入力!A13="",WBS入力!B13=""),"",IF(WBS入力!A13&lt;&gt;"","",IF(WBS入力!E13="","",WBS入力!E13)))</f>
        <v/>
      </c>
      <c r="E13" s="31" t="str">
        <f>IF(AND(WBS入力!A13="",WBS入力!B13=""),"",IF(WBS入力!A13&lt;&gt;"","",IF(WBS入力!J13="","",WBS入力!J13)))</f>
        <v/>
      </c>
    </row>
    <row r="14" spans="1:5" x14ac:dyDescent="0.3">
      <c r="A14" s="4" t="str">
        <f>IF(AND(WBS入力!A14="",WBS入力!B14=""),"",IF(WBS入力!A14&lt;&gt;"","★",WBS入力!B14))</f>
        <v>1.1.8</v>
      </c>
      <c r="B14" s="3" t="str">
        <f>IF(AND(WBS入力!A14="",WBS入力!B14=""),"",IF(WBS入力!A14&lt;&gt;"","■ "&amp;WBS入力!A14,IF(LEN(WBS入力!B14)-LEN(SUBSTITUTE(WBS入力!B14,".",""))&lt;=1,"  ├─ "&amp;WBS入力!C14,"  │  ├─ "&amp;WBS入力!C14)))</f>
        <v xml:space="preserve">  │  ├─ 年末調整業務の確認</v>
      </c>
      <c r="C14" s="3" t="str">
        <f>IF(AND(WBS入力!A14="",WBS入力!B14=""),"",IF(WBS入力!A14&lt;&gt;"","",WBS入力!D14))</f>
        <v>スケジュール、申告システム、電子申請利用状況の特定</v>
      </c>
      <c r="D14" s="31" t="str">
        <f>IF(AND(WBS入力!A14="",WBS入力!B14=""),"",IF(WBS入力!A14&lt;&gt;"","",IF(WBS入力!E14="","",WBS入力!E14)))</f>
        <v/>
      </c>
      <c r="E14" s="31" t="str">
        <f>IF(AND(WBS入力!A14="",WBS入力!B14=""),"",IF(WBS入力!A14&lt;&gt;"","",IF(WBS入力!J14="","",WBS入力!J14)))</f>
        <v/>
      </c>
    </row>
    <row r="15" spans="1:5" x14ac:dyDescent="0.3">
      <c r="A15" s="4" t="str">
        <f>IF(AND(WBS入力!A15="",WBS入力!B15=""),"",IF(WBS入力!A15&lt;&gt;"","★",WBS入力!B15))</f>
        <v>1.1.9</v>
      </c>
      <c r="B15" s="3" t="str">
        <f>IF(AND(WBS入力!A15="",WBS入力!B15=""),"",IF(WBS入力!A15&lt;&gt;"","■ "&amp;WBS入力!A15,IF(LEN(WBS入力!B15)-LEN(SUBSTITUTE(WBS入力!B15,".",""))&lt;=1,"  ├─ "&amp;WBS入力!C15,"  │  ├─ "&amp;WBS入力!C15)))</f>
        <v xml:space="preserve">  │  ├─ abcdef</v>
      </c>
      <c r="C15" s="3" t="str">
        <f>IF(AND(WBS入力!A15="",WBS入力!B15=""),"",IF(WBS入力!A15&lt;&gt;"","",WBS入力!D15))</f>
        <v>あいうえお</v>
      </c>
      <c r="D15" s="31" t="str">
        <f>IF(AND(WBS入力!A15="",WBS入力!B15=""),"",IF(WBS入力!A15&lt;&gt;"","",IF(WBS入力!E15="","",WBS入力!E15)))</f>
        <v/>
      </c>
      <c r="E15" s="31" t="str">
        <f>IF(AND(WBS入力!A15="",WBS入力!B15=""),"",IF(WBS入力!A15&lt;&gt;"","",IF(WBS入力!J15="","",WBS入力!J15)))</f>
        <v/>
      </c>
    </row>
    <row r="16" spans="1:5" x14ac:dyDescent="0.3">
      <c r="A16" s="4" t="str">
        <f>IF(AND(WBS入力!A16="",WBS入力!B16=""),"",IF(WBS入力!A16&lt;&gt;"","★",WBS入力!B16))</f>
        <v>1.1.10</v>
      </c>
      <c r="B16" s="3" t="str">
        <f>IF(AND(WBS入力!A16="",WBS入力!B16=""),"",IF(WBS入力!A16&lt;&gt;"","■ "&amp;WBS入力!A16,IF(LEN(WBS入力!B16)-LEN(SUBSTITUTE(WBS入力!B16,".",""))&lt;=1,"  ├─ "&amp;WBS入力!C16,"  │  ├─ "&amp;WBS入力!C16)))</f>
        <v xml:space="preserve">  │  ├─ ghijk</v>
      </c>
      <c r="C16" s="3" t="str">
        <f>IF(AND(WBS入力!A16="",WBS入力!B16=""),"",IF(WBS入力!A16&lt;&gt;"","",WBS入力!D16))</f>
        <v>かきくけこ</v>
      </c>
      <c r="D16" s="31" t="str">
        <f>IF(AND(WBS入力!A16="",WBS入力!B16=""),"",IF(WBS入力!A16&lt;&gt;"","",IF(WBS入力!E16="","",WBS入力!E16)))</f>
        <v/>
      </c>
      <c r="E16" s="31" t="str">
        <f>IF(AND(WBS入力!A16="",WBS入力!B16=""),"",IF(WBS入力!A16&lt;&gt;"","",IF(WBS入力!J16="","",WBS入力!J16)))</f>
        <v/>
      </c>
    </row>
    <row r="17" spans="1:5" x14ac:dyDescent="0.3">
      <c r="A17" s="4">
        <f>IF(AND(WBS入力!A17="",WBS入力!B17=""),"",IF(WBS入力!A17&lt;&gt;"","★",WBS入力!B17))</f>
        <v>1.3</v>
      </c>
      <c r="B17" s="3" t="str">
        <f>IF(AND(WBS入力!A17="",WBS入力!B17=""),"",IF(WBS入力!A17&lt;&gt;"","■ "&amp;WBS入力!A17,IF(LEN(WBS入力!B17)-LEN(SUBSTITUTE(WBS入力!B17,".",""))&lt;=1,"  ├─ "&amp;WBS入力!C17,"  │  ├─ "&amp;WBS入力!C17)))</f>
        <v xml:space="preserve">  ├─ 予算・スケジュール策定</v>
      </c>
      <c r="C17" s="3" t="str">
        <f>IF(AND(WBS入力!A17="",WBS入力!B17=""),"",IF(WBS入力!A17&lt;&gt;"","",WBS入力!D17))</f>
        <v>プロジェクト実行計画の承認取得</v>
      </c>
      <c r="D17" s="31" t="str">
        <f>IF(AND(WBS入力!A17="",WBS入力!B17=""),"",IF(WBS入力!A17&lt;&gt;"","",IF(WBS入力!E17="","",WBS入力!E17)))</f>
        <v/>
      </c>
      <c r="E17" s="31" t="str">
        <f>IF(AND(WBS入力!A17="",WBS入力!B17=""),"",IF(WBS入力!A17&lt;&gt;"","",IF(WBS入力!J17="","",WBS入力!J17)))</f>
        <v/>
      </c>
    </row>
    <row r="18" spans="1:5" x14ac:dyDescent="0.3">
      <c r="A18" s="4" t="str">
        <f>IF(AND(WBS入力!A18="",WBS入力!B18=""),"",IF(WBS入力!A18&lt;&gt;"","★",WBS入力!B18))</f>
        <v>1.3.1</v>
      </c>
      <c r="B18" s="3" t="str">
        <f>IF(AND(WBS入力!A18="",WBS入力!B18=""),"",IF(WBS入力!A18&lt;&gt;"","■ "&amp;WBS入力!A18,IF(LEN(WBS入力!B18)-LEN(SUBSTITUTE(WBS入力!B18,".",""))&lt;=1,"  ├─ "&amp;WBS入力!C18,"  │  ├─ "&amp;WBS入力!C18)))</f>
        <v xml:space="preserve">  │  ├─ 切替コストの見積り</v>
      </c>
      <c r="C18" s="3" t="str">
        <f>IF(AND(WBS入力!A18="",WBS入力!B18=""),"",IF(WBS入力!A18&lt;&gt;"","",WBS入力!D18))</f>
        <v>初期導入費用とランニングコストの比較</v>
      </c>
      <c r="D18" s="31" t="str">
        <f>IF(AND(WBS入力!A18="",WBS入力!B18=""),"",IF(WBS入力!A18&lt;&gt;"","",IF(WBS入力!E18="","",WBS入力!E18)))</f>
        <v/>
      </c>
      <c r="E18" s="31" t="str">
        <f>IF(AND(WBS入力!A18="",WBS入力!B18=""),"",IF(WBS入力!A18&lt;&gt;"","",IF(WBS入力!J18="","",WBS入力!J18)))</f>
        <v/>
      </c>
    </row>
    <row r="19" spans="1:5" x14ac:dyDescent="0.3">
      <c r="A19" s="4" t="str">
        <f>IF(AND(WBS入力!A19="",WBS入力!B19=""),"",IF(WBS入力!A19&lt;&gt;"","★",WBS入力!B19))</f>
        <v>1.3.2</v>
      </c>
      <c r="B19" s="3" t="str">
        <f>IF(AND(WBS入力!A19="",WBS入力!B19=""),"",IF(WBS入力!A19&lt;&gt;"","■ "&amp;WBS入力!A19,IF(LEN(WBS入力!B19)-LEN(SUBSTITUTE(WBS入力!B19,".",""))&lt;=1,"  ├─ "&amp;WBS入力!C19,"  │  ├─ "&amp;WBS入力!C19)))</f>
        <v xml:space="preserve">  │  ├─ プロジェクトロードマップ作成</v>
      </c>
      <c r="C19" s="3" t="str">
        <f>IF(AND(WBS入力!A19="",WBS入力!B19=""),"",IF(WBS入力!A19&lt;&gt;"","",WBS入力!D19))</f>
        <v>RFP発行から本番稼働までの工程表作成</v>
      </c>
      <c r="D19" s="31" t="str">
        <f>IF(AND(WBS入力!A19="",WBS入力!B19=""),"",IF(WBS入力!A19&lt;&gt;"","",IF(WBS入力!E19="","",WBS入力!E19)))</f>
        <v/>
      </c>
      <c r="E19" s="31" t="str">
        <f>IF(AND(WBS入力!A19="",WBS入力!B19=""),"",IF(WBS入力!A19&lt;&gt;"","",IF(WBS入力!J19="","",WBS入力!J19)))</f>
        <v/>
      </c>
    </row>
    <row r="20" spans="1:5" x14ac:dyDescent="0.3">
      <c r="A20" s="4" t="str">
        <f>IF(AND(WBS入力!A20="",WBS入力!B20=""),"",IF(WBS入力!A20&lt;&gt;"","★",WBS入力!B20))</f>
        <v>1.3.3</v>
      </c>
      <c r="B20" s="3" t="str">
        <f>IF(AND(WBS入力!A20="",WBS入力!B20=""),"",IF(WBS入力!A20&lt;&gt;"","■ "&amp;WBS入力!A20,IF(LEN(WBS入力!B20)-LEN(SUBSTITUTE(WBS入力!B20,".",""))&lt;=1,"  ├─ "&amp;WBS入力!C20,"  │  ├─ "&amp;WBS入力!C20)))</f>
        <v xml:space="preserve">  │  ├─ リソース計画の策定</v>
      </c>
      <c r="C20" s="3" t="str">
        <f>IF(AND(WBS入力!A20="",WBS入力!B20=""),"",IF(WBS入力!A20&lt;&gt;"","",WBS入力!D20))</f>
        <v>内部メンバーの工数確保と体制構築</v>
      </c>
      <c r="D20" s="31" t="str">
        <f>IF(AND(WBS入力!A20="",WBS入力!B20=""),"",IF(WBS入力!A20&lt;&gt;"","",IF(WBS入力!E20="","",WBS入力!E20)))</f>
        <v/>
      </c>
      <c r="E20" s="31" t="str">
        <f>IF(AND(WBS入力!A20="",WBS入力!B20=""),"",IF(WBS入力!A20&lt;&gt;"","",IF(WBS入力!J20="","",WBS入力!J20)))</f>
        <v/>
      </c>
    </row>
    <row r="21" spans="1:5" x14ac:dyDescent="0.3">
      <c r="A21" s="4" t="str">
        <f>IF(AND(WBS入力!A21="",WBS入力!B21=""),"",IF(WBS入力!A21&lt;&gt;"","★",WBS入力!B21))</f>
        <v>★</v>
      </c>
      <c r="B21" s="3" t="str">
        <f>IF(AND(WBS入力!A21="",WBS入力!B21=""),"",IF(WBS入力!A21&lt;&gt;"","■ "&amp;WBS入力!A21,IF(LEN(WBS入力!B21)-LEN(SUBSTITUTE(WBS入力!B21,".",""))&lt;=1,"  ├─ "&amp;WBS入力!C21,"  │  ├─ "&amp;WBS入力!C21)))</f>
        <v>■ 2. ベンダー選定</v>
      </c>
      <c r="C21" s="3" t="str">
        <f>IF(AND(WBS入力!A21="",WBS入力!B21=""),"",IF(WBS入力!A21&lt;&gt;"","",WBS入力!D21))</f>
        <v/>
      </c>
      <c r="D21" s="31" t="str">
        <f>IF(AND(WBS入力!A21="",WBS入力!B21=""),"",IF(WBS入力!A21&lt;&gt;"","",IF(WBS入力!E21="","",WBS入力!E21)))</f>
        <v/>
      </c>
      <c r="E21" s="31" t="str">
        <f>IF(AND(WBS入力!A21="",WBS入力!B21=""),"",IF(WBS入力!A21&lt;&gt;"","",IF(WBS入力!J21="","",WBS入力!J21)))</f>
        <v/>
      </c>
    </row>
    <row r="22" spans="1:5" x14ac:dyDescent="0.3">
      <c r="A22" s="4">
        <f>IF(AND(WBS入力!A22="",WBS入力!B22=""),"",IF(WBS入力!A22&lt;&gt;"","★",WBS入力!B22))</f>
        <v>2.1</v>
      </c>
      <c r="B22" s="3" t="str">
        <f>IF(AND(WBS入力!A22="",WBS入力!B22=""),"",IF(WBS入力!A22&lt;&gt;"","■ "&amp;WBS入力!A22,IF(LEN(WBS入力!B22)-LEN(SUBSTITUTE(WBS入力!B22,".",""))&lt;=1,"  ├─ "&amp;WBS入力!C22,"  │  ├─ "&amp;WBS入力!C22)))</f>
        <v xml:space="preserve">  ├─ RFI/RFP作成・送付</v>
      </c>
      <c r="C22" s="3" t="str">
        <f>IF(AND(WBS入力!A22="",WBS入力!B22=""),"",IF(WBS入力!A22&lt;&gt;"","",WBS入力!D22))</f>
        <v>提案依頼書の送付と質疑応答</v>
      </c>
      <c r="D22" s="31" t="str">
        <f>IF(AND(WBS入力!A22="",WBS入力!B22=""),"",IF(WBS入力!A22&lt;&gt;"","",IF(WBS入力!E22="","",WBS入力!E22)))</f>
        <v/>
      </c>
      <c r="E22" s="31" t="str">
        <f>IF(AND(WBS入力!A22="",WBS入力!B22=""),"",IF(WBS入力!A22&lt;&gt;"","",IF(WBS入力!J22="","",WBS入力!J22)))</f>
        <v/>
      </c>
    </row>
    <row r="23" spans="1:5" x14ac:dyDescent="0.3">
      <c r="A23" s="4">
        <f>IF(AND(WBS入力!A23="",WBS入力!B23=""),"",IF(WBS入力!A23&lt;&gt;"","★",WBS入力!B23))</f>
        <v>2.2000000000000002</v>
      </c>
      <c r="B23" s="3" t="str">
        <f>IF(AND(WBS入力!A23="",WBS入力!B23=""),"",IF(WBS入力!A23&lt;&gt;"","■ "&amp;WBS入力!A23,IF(LEN(WBS入力!B23)-LEN(SUBSTITUTE(WBS入力!B23,".",""))&lt;=1,"  ├─ "&amp;WBS入力!C23,"  │  ├─ "&amp;WBS入力!C23)))</f>
        <v xml:space="preserve">  ├─ 提案評価・選定</v>
      </c>
      <c r="C23" s="3" t="str">
        <f>IF(AND(WBS入力!A23="",WBS入力!B23=""),"",IF(WBS入力!A23&lt;&gt;"","",WBS入力!D23))</f>
        <v>プレゼン実施とスコアリングによる決定</v>
      </c>
      <c r="D23" s="31" t="str">
        <f>IF(AND(WBS入力!A23="",WBS入力!B23=""),"",IF(WBS入力!A23&lt;&gt;"","",IF(WBS入力!E23="","",WBS入力!E23)))</f>
        <v/>
      </c>
      <c r="E23" s="31" t="str">
        <f>IF(AND(WBS入力!A23="",WBS入力!B23=""),"",IF(WBS入力!A23&lt;&gt;"","",IF(WBS入力!J23="","",WBS入力!J23)))</f>
        <v/>
      </c>
    </row>
    <row r="24" spans="1:5" x14ac:dyDescent="0.3">
      <c r="A24" s="4" t="str">
        <f>IF(AND(WBS入力!A24="",WBS入力!B24=""),"",IF(WBS入力!A24&lt;&gt;"","★",WBS入力!B24))</f>
        <v>★</v>
      </c>
      <c r="B24" s="3" t="str">
        <f>IF(AND(WBS入力!A24="",WBS入力!B24=""),"",IF(WBS入力!A24&lt;&gt;"","■ "&amp;WBS入力!A24,IF(LEN(WBS入力!B24)-LEN(SUBSTITUTE(WBS入力!B24,".",""))&lt;=1,"  ├─ "&amp;WBS入力!C24,"  │  ├─ "&amp;WBS入力!C24)))</f>
        <v>■ 3. 移管準備（設計）</v>
      </c>
      <c r="C24" s="3" t="str">
        <f>IF(AND(WBS入力!A24="",WBS入力!B24=""),"",IF(WBS入力!A24&lt;&gt;"","",WBS入力!D24))</f>
        <v/>
      </c>
      <c r="D24" s="31" t="str">
        <f>IF(AND(WBS入力!A24="",WBS入力!B24=""),"",IF(WBS入力!A24&lt;&gt;"","",IF(WBS入力!E24="","",WBS入力!E24)))</f>
        <v/>
      </c>
      <c r="E24" s="31" t="str">
        <f>IF(AND(WBS入力!A24="",WBS入力!B24=""),"",IF(WBS入力!A24&lt;&gt;"","",IF(WBS入力!J24="","",WBS入力!J24)))</f>
        <v/>
      </c>
    </row>
    <row r="25" spans="1:5" x14ac:dyDescent="0.3">
      <c r="A25" s="4">
        <f>IF(AND(WBS入力!A25="",WBS入力!B25=""),"",IF(WBS入力!A25&lt;&gt;"","★",WBS入力!B25))</f>
        <v>3.1</v>
      </c>
      <c r="B25" s="3" t="str">
        <f>IF(AND(WBS入力!A25="",WBS入力!B25=""),"",IF(WBS入力!A25&lt;&gt;"","■ "&amp;WBS入力!A25,IF(LEN(WBS入力!B25)-LEN(SUBSTITUTE(WBS入力!B25,".",""))&lt;=1,"  ├─ "&amp;WBS入力!C25,"  │  ├─ "&amp;WBS入力!C25)))</f>
        <v xml:space="preserve">  ├─ TO-BE業務フロー設計</v>
      </c>
      <c r="C25" s="3" t="str">
        <f>IF(AND(WBS入力!A25="",WBS入力!B25=""),"",IF(WBS入力!A25&lt;&gt;"","",WBS入力!D25))</f>
        <v>新ベンダー体制での最適化</v>
      </c>
      <c r="D25" s="31" t="str">
        <f>IF(AND(WBS入力!A25="",WBS入力!B25=""),"",IF(WBS入力!A25&lt;&gt;"","",IF(WBS入力!E25="","",WBS入力!E25)))</f>
        <v/>
      </c>
      <c r="E25" s="31" t="str">
        <f>IF(AND(WBS入力!A25="",WBS入力!B25=""),"",IF(WBS入力!A25&lt;&gt;"","",IF(WBS入力!J25="","",WBS入力!J25)))</f>
        <v/>
      </c>
    </row>
    <row r="26" spans="1:5" x14ac:dyDescent="0.3">
      <c r="A26" s="4" t="str">
        <f>IF(AND(WBS入力!A26="",WBS入力!B26=""),"",IF(WBS入力!A26&lt;&gt;"","★",WBS入力!B26))</f>
        <v>3.1.1</v>
      </c>
      <c r="B26" s="3" t="str">
        <f>IF(AND(WBS入力!A26="",WBS入力!B26=""),"",IF(WBS入力!A26&lt;&gt;"","■ "&amp;WBS入力!A26,IF(LEN(WBS入力!B26)-LEN(SUBSTITUTE(WBS入力!B26,".",""))&lt;=1,"  ├─ "&amp;WBS入力!C26,"  │  ├─ "&amp;WBS入力!C26)))</f>
        <v xml:space="preserve">  │  ├─ 業務フローのギャップ分析</v>
      </c>
      <c r="C26" s="3" t="str">
        <f>IF(AND(WBS入力!A26="",WBS入力!B26=""),"",IF(WBS入力!A26&lt;&gt;"","",WBS入力!D26))</f>
        <v>現行と新ベンダー標準機能の差分抽出</v>
      </c>
      <c r="D26" s="31" t="str">
        <f>IF(AND(WBS入力!A26="",WBS入力!B26=""),"",IF(WBS入力!A26&lt;&gt;"","",IF(WBS入力!E26="","",WBS入力!E26)))</f>
        <v/>
      </c>
      <c r="E26" s="31" t="str">
        <f>IF(AND(WBS入力!A26="",WBS入力!B26=""),"",IF(WBS入力!A26&lt;&gt;"","",IF(WBS入力!J26="","",WBS入力!J26)))</f>
        <v/>
      </c>
    </row>
    <row r="27" spans="1:5" x14ac:dyDescent="0.3">
      <c r="A27" s="4" t="str">
        <f>IF(AND(WBS入力!A27="",WBS入力!B27=""),"",IF(WBS入力!A27&lt;&gt;"","★",WBS入力!B27))</f>
        <v>3.1.2</v>
      </c>
      <c r="B27" s="3" t="str">
        <f>IF(AND(WBS入力!A27="",WBS入力!B27=""),"",IF(WBS入力!A27&lt;&gt;"","■ "&amp;WBS入力!A27,IF(LEN(WBS入力!B27)-LEN(SUBSTITUTE(WBS入力!B27,".",""))&lt;=1,"  ├─ "&amp;WBS入力!C27,"  │  ├─ "&amp;WBS入力!C27)))</f>
        <v xml:space="preserve">  │  ├─ 承認ワークフローの再設計</v>
      </c>
      <c r="C27" s="3" t="str">
        <f>IF(AND(WBS入力!A27="",WBS入力!B27=""),"",IF(WBS入力!A27&lt;&gt;"","",WBS入力!D27))</f>
        <v>申請ルートとHRIS上の権限設定</v>
      </c>
      <c r="D27" s="31" t="str">
        <f>IF(AND(WBS入力!A27="",WBS入力!B27=""),"",IF(WBS入力!A27&lt;&gt;"","",IF(WBS入力!E27="","",WBS入力!E27)))</f>
        <v/>
      </c>
      <c r="E27" s="31" t="str">
        <f>IF(AND(WBS入力!A27="",WBS入力!B27=""),"",IF(WBS入力!A27&lt;&gt;"","",IF(WBS入力!J27="","",WBS入力!J27)))</f>
        <v/>
      </c>
    </row>
    <row r="28" spans="1:5" x14ac:dyDescent="0.3">
      <c r="A28" s="4">
        <f>IF(AND(WBS入力!A28="",WBS入力!B28=""),"",IF(WBS入力!A28&lt;&gt;"","★",WBS入力!B28))</f>
        <v>3.2</v>
      </c>
      <c r="B28" s="3" t="str">
        <f>IF(AND(WBS入力!A28="",WBS入力!B28=""),"",IF(WBS入力!A28&lt;&gt;"","■ "&amp;WBS入力!A28,IF(LEN(WBS入力!B28)-LEN(SUBSTITUTE(WBS入力!B28,".",""))&lt;=1,"  ├─ "&amp;WBS入力!C28,"  │  ├─ "&amp;WBS入力!C28)))</f>
        <v xml:space="preserve">  ├─ システム/データ連携設計</v>
      </c>
      <c r="C28" s="3" t="str">
        <f>IF(AND(WBS入力!A28="",WBS入力!B28=""),"",IF(WBS入力!A28&lt;&gt;"","",WBS入力!D28))</f>
        <v>データ整合性の担保</v>
      </c>
      <c r="D28" s="31" t="str">
        <f>IF(AND(WBS入力!A28="",WBS入力!B28=""),"",IF(WBS入力!A28&lt;&gt;"","",IF(WBS入力!E28="","",WBS入力!E28)))</f>
        <v/>
      </c>
      <c r="E28" s="31" t="str">
        <f>IF(AND(WBS入力!A28="",WBS入力!B28=""),"",IF(WBS入力!A28&lt;&gt;"","",IF(WBS入力!J28="","",WBS入力!J28)))</f>
        <v/>
      </c>
    </row>
    <row r="29" spans="1:5" x14ac:dyDescent="0.3">
      <c r="A29" s="4" t="str">
        <f>IF(AND(WBS入力!A29="",WBS入力!B29=""),"",IF(WBS入力!A29&lt;&gt;"","★",WBS入力!B29))</f>
        <v>3.2.1</v>
      </c>
      <c r="B29" s="3" t="str">
        <f>IF(AND(WBS入力!A29="",WBS入力!B29=""),"",IF(WBS入力!A29&lt;&gt;"","■ "&amp;WBS入力!A29,IF(LEN(WBS入力!B29)-LEN(SUBSTITUTE(WBS入力!B29,".",""))&lt;=1,"  ├─ "&amp;WBS入力!C29,"  │  ├─ "&amp;WBS入力!C29)))</f>
        <v xml:space="preserve">  │  ├─ インターフェース仕様書の作成</v>
      </c>
      <c r="C29" s="3" t="str">
        <f>IF(AND(WBS入力!A29="",WBS入力!B29=""),"",IF(WBS入力!A29&lt;&gt;"","",WBS入力!D29))</f>
        <v>HCM, 給与システム等との連携項目定義</v>
      </c>
      <c r="D29" s="31" t="str">
        <f>IF(AND(WBS入力!A29="",WBS入力!B29=""),"",IF(WBS入力!A29&lt;&gt;"","",IF(WBS入力!E29="","",WBS入力!E29)))</f>
        <v/>
      </c>
      <c r="E29" s="31" t="str">
        <f>IF(AND(WBS入力!A29="",WBS入力!B29=""),"",IF(WBS入力!A29&lt;&gt;"","",IF(WBS入力!J29="","",WBS入力!J29)))</f>
        <v/>
      </c>
    </row>
    <row r="30" spans="1:5" x14ac:dyDescent="0.3">
      <c r="A30" s="4" t="str">
        <f>IF(AND(WBS入力!A30="",WBS入力!B30=""),"",IF(WBS入力!A30&lt;&gt;"","★",WBS入力!B30))</f>
        <v>3.2.2</v>
      </c>
      <c r="B30" s="3" t="str">
        <f>IF(AND(WBS入力!A30="",WBS入力!B30=""),"",IF(WBS入力!A30&lt;&gt;"","■ "&amp;WBS入力!A30,IF(LEN(WBS入力!B30)-LEN(SUBSTITUTE(WBS入力!B30,".",""))&lt;=1,"  ├─ "&amp;WBS入力!C30,"  │  ├─ "&amp;WBS入力!C30)))</f>
        <v xml:space="preserve">  │  ├─ マスターデータマッピング</v>
      </c>
      <c r="C30" s="3" t="str">
        <f>IF(AND(WBS入力!A30="",WBS入力!B30=""),"",IF(WBS入力!A30&lt;&gt;"","",WBS入力!D30))</f>
        <v>組織コード等の名称・属性の突合定義</v>
      </c>
      <c r="D30" s="31" t="str">
        <f>IF(AND(WBS入力!A30="",WBS入力!B30=""),"",IF(WBS入力!A30&lt;&gt;"","",IF(WBS入力!E30="","",WBS入力!E30)))</f>
        <v/>
      </c>
      <c r="E30" s="31" t="str">
        <f>IF(AND(WBS入力!A30="",WBS入力!B30=""),"",IF(WBS入力!A30&lt;&gt;"","",IF(WBS入力!J30="","",WBS入力!J30)))</f>
        <v/>
      </c>
    </row>
    <row r="31" spans="1:5" x14ac:dyDescent="0.3">
      <c r="A31" s="4">
        <f>IF(AND(WBS入力!A31="",WBS入力!B31=""),"",IF(WBS入力!A31&lt;&gt;"","★",WBS入力!B31))</f>
        <v>3.3</v>
      </c>
      <c r="B31" s="3" t="str">
        <f>IF(AND(WBS入力!A31="",WBS入力!B31=""),"",IF(WBS入力!A31&lt;&gt;"","■ "&amp;WBS入力!A31,IF(LEN(WBS入力!B31)-LEN(SUBSTITUTE(WBS入力!B31,".",""))&lt;=1,"  ├─ "&amp;WBS入力!C31,"  │  ├─ "&amp;WBS入力!C31)))</f>
        <v xml:space="preserve">  ├─ 移行計画策定</v>
      </c>
      <c r="C31" s="3" t="str">
        <f>IF(AND(WBS入力!A31="",WBS入力!B31=""),"",IF(WBS入力!A31&lt;&gt;"","",WBS入力!D31))</f>
        <v>切替リスクの最小化</v>
      </c>
      <c r="D31" s="31" t="str">
        <f>IF(AND(WBS入力!A31="",WBS入力!B31=""),"",IF(WBS入力!A31&lt;&gt;"","",IF(WBS入力!E31="","",WBS入力!E31)))</f>
        <v/>
      </c>
      <c r="E31" s="31" t="str">
        <f>IF(AND(WBS入力!A31="",WBS入力!B31=""),"",IF(WBS入力!A31&lt;&gt;"","",IF(WBS入力!J31="","",WBS入力!J31)))</f>
        <v/>
      </c>
    </row>
    <row r="32" spans="1:5" x14ac:dyDescent="0.3">
      <c r="A32" s="4" t="str">
        <f>IF(AND(WBS入力!A32="",WBS入力!B32=""),"",IF(WBS入力!A32&lt;&gt;"","★",WBS入力!B32))</f>
        <v>3.3.1</v>
      </c>
      <c r="B32" s="3" t="str">
        <f>IF(AND(WBS入力!A32="",WBS入力!B32=""),"",IF(WBS入力!A32&lt;&gt;"","■ "&amp;WBS入力!A32,IF(LEN(WBS入力!B32)-LEN(SUBSTITUTE(WBS入力!B32,".",""))&lt;=1,"  ├─ "&amp;WBS入力!C32,"  │  ├─ "&amp;WBS入力!C32)))</f>
        <v xml:space="preserve">  │  ├─ データクレンジング計画</v>
      </c>
      <c r="C32" s="3" t="str">
        <f>IF(AND(WBS入力!A32="",WBS入力!B32=""),"",IF(WBS入力!A32&lt;&gt;"","",WBS入力!D32))</f>
        <v>移行前に修正が必要な人事情報の特定</v>
      </c>
      <c r="D32" s="31" t="str">
        <f>IF(AND(WBS入力!A32="",WBS入力!B32=""),"",IF(WBS入力!A32&lt;&gt;"","",IF(WBS入力!E32="","",WBS入力!E32)))</f>
        <v/>
      </c>
      <c r="E32" s="31" t="str">
        <f>IF(AND(WBS入力!A32="",WBS入力!B32=""),"",IF(WBS入力!A32&lt;&gt;"","",IF(WBS入力!J32="","",WBS入力!J32)))</f>
        <v/>
      </c>
    </row>
    <row r="33" spans="1:5" x14ac:dyDescent="0.3">
      <c r="A33" s="4" t="str">
        <f>IF(AND(WBS入力!A33="",WBS入力!B33=""),"",IF(WBS入力!A33&lt;&gt;"","★",WBS入力!B33))</f>
        <v>3.3.2</v>
      </c>
      <c r="B33" s="3" t="str">
        <f>IF(AND(WBS入力!A33="",WBS入力!B33=""),"",IF(WBS入力!A33&lt;&gt;"","■ "&amp;WBS入力!A33,IF(LEN(WBS入力!B33)-LEN(SUBSTITUTE(WBS入力!B33,".",""))&lt;=1,"  ├─ "&amp;WBS入力!C33,"  │  ├─ "&amp;WBS入力!C33)))</f>
        <v xml:space="preserve">  │  ├─ パラレルラン（並行稼働）計画</v>
      </c>
      <c r="C33" s="3" t="str">
        <f>IF(AND(WBS入力!A33="",WBS入力!B33=""),"",IF(WBS入力!A33&lt;&gt;"","",WBS入力!D33))</f>
        <v>給与計算の二重検証期間、検証対象者の策定</v>
      </c>
      <c r="D33" s="31" t="str">
        <f>IF(AND(WBS入力!A33="",WBS入力!B33=""),"",IF(WBS入力!A33&lt;&gt;"","",IF(WBS入力!E33="","",WBS入力!E33)))</f>
        <v/>
      </c>
      <c r="E33" s="31" t="str">
        <f>IF(AND(WBS入力!A33="",WBS入力!B33=""),"",IF(WBS入力!A33&lt;&gt;"","",IF(WBS入力!J33="","",WBS入力!J33)))</f>
        <v/>
      </c>
    </row>
    <row r="34" spans="1:5" x14ac:dyDescent="0.3">
      <c r="A34" s="4" t="str">
        <f>IF(AND(WBS入力!A34="",WBS入力!B34=""),"",IF(WBS入力!A34&lt;&gt;"","★",WBS入力!B34))</f>
        <v>★</v>
      </c>
      <c r="B34" s="3" t="str">
        <f>IF(AND(WBS入力!A34="",WBS入力!B34=""),"",IF(WBS入力!A34&lt;&gt;"","■ "&amp;WBS入力!A34,IF(LEN(WBS入力!B34)-LEN(SUBSTITUTE(WBS入力!B34,".",""))&lt;=1,"  ├─ "&amp;WBS入力!C34,"  │  ├─ "&amp;WBS入力!C34)))</f>
        <v>■ 4. 構築・テスト</v>
      </c>
      <c r="C34" s="3" t="str">
        <f>IF(AND(WBS入力!A34="",WBS入力!B34=""),"",IF(WBS入力!A34&lt;&gt;"","",WBS入力!D34))</f>
        <v/>
      </c>
      <c r="D34" s="31" t="str">
        <f>IF(AND(WBS入力!A34="",WBS入力!B34=""),"",IF(WBS入力!A34&lt;&gt;"","",IF(WBS入力!E34="","",WBS入力!E34)))</f>
        <v/>
      </c>
      <c r="E34" s="31" t="str">
        <f>IF(AND(WBS入力!A34="",WBS入力!B34=""),"",IF(WBS入力!A34&lt;&gt;"","",IF(WBS入力!J34="","",WBS入力!J34)))</f>
        <v/>
      </c>
    </row>
    <row r="35" spans="1:5" x14ac:dyDescent="0.3">
      <c r="A35" s="4">
        <f>IF(AND(WBS入力!A35="",WBS入力!B35=""),"",IF(WBS入力!A35&lt;&gt;"","★",WBS入力!B35))</f>
        <v>4.0999999999999996</v>
      </c>
      <c r="B35" s="3" t="str">
        <f>IF(AND(WBS入力!A35="",WBS入力!B35=""),"",IF(WBS入力!A35&lt;&gt;"","■ "&amp;WBS入力!A35,IF(LEN(WBS入力!B35)-LEN(SUBSTITUTE(WBS入力!B35,".",""))&lt;=1,"  ├─ "&amp;WBS入力!C35,"  │  ├─ "&amp;WBS入力!C35)))</f>
        <v xml:space="preserve">  ├─ 受入テスト（UAT）</v>
      </c>
      <c r="C35" s="3" t="str">
        <f>IF(AND(WBS入力!A35="",WBS入力!B35=""),"",IF(WBS入力!A35&lt;&gt;"","",WBS入力!D35))</f>
        <v>業務シナリオに基づく運用テスト</v>
      </c>
      <c r="D35" s="31" t="str">
        <f>IF(AND(WBS入力!A35="",WBS入力!B35=""),"",IF(WBS入力!A35&lt;&gt;"","",IF(WBS入力!E35="","",WBS入力!E35)))</f>
        <v/>
      </c>
      <c r="E35" s="31" t="str">
        <f>IF(AND(WBS入力!A35="",WBS入力!B35=""),"",IF(WBS入力!A35&lt;&gt;"","",IF(WBS入力!J35="","",WBS入力!J35)))</f>
        <v/>
      </c>
    </row>
    <row r="36" spans="1:5" x14ac:dyDescent="0.3">
      <c r="A36" s="4" t="str">
        <f>IF(AND(WBS入力!A36="",WBS入力!B36=""),"",IF(WBS入力!A36&lt;&gt;"","★",WBS入力!B36))</f>
        <v>★</v>
      </c>
      <c r="B36" s="3" t="str">
        <f>IF(AND(WBS入力!A36="",WBS入力!B36=""),"",IF(WBS入力!A36&lt;&gt;"","■ "&amp;WBS入力!A36,IF(LEN(WBS入力!B36)-LEN(SUBSTITUTE(WBS入力!B36,".",""))&lt;=1,"  ├─ "&amp;WBS入力!C36,"  │  ├─ "&amp;WBS入力!C36)))</f>
        <v>■ 5. 移行・並行稼働</v>
      </c>
      <c r="C36" s="3" t="str">
        <f>IF(AND(WBS入力!A36="",WBS入力!B36=""),"",IF(WBS入力!A36&lt;&gt;"","",WBS入力!D36))</f>
        <v/>
      </c>
      <c r="D36" s="31" t="str">
        <f>IF(AND(WBS入力!A36="",WBS入力!B36=""),"",IF(WBS入力!A36&lt;&gt;"","",IF(WBS入力!E36="","",WBS入力!E36)))</f>
        <v/>
      </c>
      <c r="E36" s="31" t="str">
        <f>IF(AND(WBS入力!A36="",WBS入力!B36=""),"",IF(WBS入力!A36&lt;&gt;"","",IF(WBS入力!J36="","",WBS入力!J36)))</f>
        <v/>
      </c>
    </row>
    <row r="37" spans="1:5" x14ac:dyDescent="0.3">
      <c r="A37" s="4">
        <f>IF(AND(WBS入力!A37="",WBS入力!B37=""),"",IF(WBS入力!A37&lt;&gt;"","★",WBS入力!B37))</f>
        <v>5.0999999999999996</v>
      </c>
      <c r="B37" s="3" t="str">
        <f>IF(AND(WBS入力!A37="",WBS入力!B37=""),"",IF(WBS入力!A37&lt;&gt;"","■ "&amp;WBS入力!A37,IF(LEN(WBS入力!B37)-LEN(SUBSTITUTE(WBS入力!B37,".",""))&lt;=1,"  ├─ "&amp;WBS入力!C37,"  │  ├─ "&amp;WBS入力!C37)))</f>
        <v xml:space="preserve">  ├─ パラレルラン実施</v>
      </c>
      <c r="C37" s="3" t="str">
        <f>IF(AND(WBS入力!A37="",WBS入力!B37=""),"",IF(WBS入力!A37&lt;&gt;"","",WBS入力!D37))</f>
        <v>現行と新ベンダーによる給与計算の突合</v>
      </c>
      <c r="D37" s="31" t="str">
        <f>IF(AND(WBS入力!A37="",WBS入力!B37=""),"",IF(WBS入力!A37&lt;&gt;"","",IF(WBS入力!E37="","",WBS入力!E37)))</f>
        <v/>
      </c>
      <c r="E37" s="31" t="str">
        <f>IF(AND(WBS入力!A37="",WBS入力!B37=""),"",IF(WBS入力!A37&lt;&gt;"","",IF(WBS入力!J37="","",WBS入力!J37)))</f>
        <v/>
      </c>
    </row>
    <row r="38" spans="1:5" x14ac:dyDescent="0.3">
      <c r="A38" s="4">
        <f>IF(AND(WBS入力!A38="",WBS入力!B38=""),"",IF(WBS入力!A38&lt;&gt;"","★",WBS入力!B38))</f>
        <v>5.2</v>
      </c>
      <c r="B38" s="3" t="str">
        <f>IF(AND(WBS入力!A38="",WBS入力!B38=""),"",IF(WBS入力!A38&lt;&gt;"","■ "&amp;WBS入力!A38,IF(LEN(WBS入力!B38)-LEN(SUBSTITUTE(WBS入力!B38,".",""))&lt;=1,"  ├─ "&amp;WBS入力!C38,"  │  ├─ "&amp;WBS入力!C38)))</f>
        <v xml:space="preserve">  ├─ 本番切替（Go-Live）</v>
      </c>
      <c r="C38" s="3" t="str">
        <f>IF(AND(WBS入力!A38="",WBS入力!B38=""),"",IF(WBS入力!A38&lt;&gt;"","",WBS入力!D38))</f>
        <v>新ベンダーへの完全移行</v>
      </c>
      <c r="D38" s="31" t="str">
        <f>IF(AND(WBS入力!A38="",WBS入力!B38=""),"",IF(WBS入力!A38&lt;&gt;"","",IF(WBS入力!E38="","",WBS入力!E38)))</f>
        <v/>
      </c>
      <c r="E38" s="31" t="str">
        <f>IF(AND(WBS入力!A38="",WBS入力!B38=""),"",IF(WBS入力!A38&lt;&gt;"","",IF(WBS入力!J38="","",WBS入力!J38)))</f>
        <v/>
      </c>
    </row>
    <row r="39" spans="1:5" x14ac:dyDescent="0.3">
      <c r="A39" s="4" t="str">
        <f>IF(AND(WBS入力!A39="",WBS入力!B39=""),"",IF(WBS入力!A39&lt;&gt;"","★",WBS入力!B39))</f>
        <v>★</v>
      </c>
      <c r="B39" s="3" t="str">
        <f>IF(AND(WBS入力!A39="",WBS入力!B39=""),"",IF(WBS入力!A39&lt;&gt;"","■ "&amp;WBS入力!A39,IF(LEN(WBS入力!B39)-LEN(SUBSTITUTE(WBS入力!B39,".",""))&lt;=1,"  ├─ "&amp;WBS入力!C39,"  │  ├─ "&amp;WBS入力!C39)))</f>
        <v>■ 6. ABC</v>
      </c>
      <c r="C39" s="3" t="str">
        <f>IF(AND(WBS入力!A39="",WBS入力!B39=""),"",IF(WBS入力!A39&lt;&gt;"","",WBS入力!D39))</f>
        <v/>
      </c>
      <c r="D39" s="31" t="str">
        <f>IF(AND(WBS入力!A39="",WBS入力!B39=""),"",IF(WBS入力!A39&lt;&gt;"","",IF(WBS入力!E39="","",WBS入力!E39)))</f>
        <v/>
      </c>
      <c r="E39" s="31" t="str">
        <f>IF(AND(WBS入力!A39="",WBS入力!B39=""),"",IF(WBS入力!A39&lt;&gt;"","",IF(WBS入力!J39="","",WBS入力!J39)))</f>
        <v/>
      </c>
    </row>
    <row r="40" spans="1:5" x14ac:dyDescent="0.3">
      <c r="A40" s="4">
        <f>IF(AND(WBS入力!A40="",WBS入力!B40=""),"",IF(WBS入力!A40&lt;&gt;"","★",WBS入力!B40))</f>
        <v>6.1</v>
      </c>
      <c r="B40" s="3" t="str">
        <f>IF(AND(WBS入力!A40="",WBS入力!B40=""),"",IF(WBS入力!A40&lt;&gt;"","■ "&amp;WBS入力!A40,IF(LEN(WBS入力!B40)-LEN(SUBSTITUTE(WBS入力!B40,".",""))&lt;=1,"  ├─ "&amp;WBS入力!C40,"  │  ├─ "&amp;WBS入力!C40)))</f>
        <v xml:space="preserve">  ├─ abcdef</v>
      </c>
      <c r="C40" s="3" t="str">
        <f>IF(AND(WBS入力!A40="",WBS入力!B40=""),"",IF(WBS入力!A40&lt;&gt;"","",WBS入力!D40))</f>
        <v>あいうえお</v>
      </c>
      <c r="D40" s="31" t="str">
        <f>IF(AND(WBS入力!A40="",WBS入力!B40=""),"",IF(WBS入力!A40&lt;&gt;"","",IF(WBS入力!E40="","",WBS入力!E40)))</f>
        <v/>
      </c>
      <c r="E40" s="31" t="str">
        <f>IF(AND(WBS入力!A40="",WBS入力!B40=""),"",IF(WBS入力!A40&lt;&gt;"","",IF(WBS入力!J40="","",WBS入力!J40)))</f>
        <v/>
      </c>
    </row>
    <row r="41" spans="1:5" x14ac:dyDescent="0.3">
      <c r="A41" s="4" t="str">
        <f>IF(AND(WBS入力!A41="",WBS入力!B41=""),"",IF(WBS入力!A41&lt;&gt;"","★",WBS入力!B41))</f>
        <v>6.2</v>
      </c>
      <c r="B41" s="3" t="str">
        <f>IF(AND(WBS入力!A41="",WBS入力!B41=""),"",IF(WBS入力!A41&lt;&gt;"","■ "&amp;WBS入力!A41,IF(LEN(WBS入力!B41)-LEN(SUBSTITUTE(WBS入力!B41,".",""))&lt;=1,"  ├─ "&amp;WBS入力!C41,"  │  ├─ "&amp;WBS入力!C41)))</f>
        <v xml:space="preserve">  ├─ ghijk</v>
      </c>
      <c r="C41" s="3" t="str">
        <f>IF(AND(WBS入力!A41="",WBS入力!B41=""),"",IF(WBS入力!A41&lt;&gt;"","",WBS入力!D41))</f>
        <v>かきくけこ</v>
      </c>
      <c r="D41" s="31" t="str">
        <f>IF(AND(WBS入力!A41="",WBS入力!B41=""),"",IF(WBS入力!A41&lt;&gt;"","",IF(WBS入力!E41="","",WBS入力!E41)))</f>
        <v/>
      </c>
      <c r="E41" s="31" t="str">
        <f>IF(AND(WBS入力!A41="",WBS入力!B41=""),"",IF(WBS入力!A41&lt;&gt;"","",IF(WBS入力!J41="","",WBS入力!J41)))</f>
        <v/>
      </c>
    </row>
    <row r="42" spans="1:5" x14ac:dyDescent="0.3">
      <c r="A42" s="4" t="str">
        <f>IF(AND(WBS入力!A42="",WBS入力!B42=""),"",IF(WBS入力!A42&lt;&gt;"","★",WBS入力!B42))</f>
        <v/>
      </c>
      <c r="B42" s="3" t="str">
        <f>IF(AND(WBS入力!A42="",WBS入力!B42=""),"",IF(WBS入力!A42&lt;&gt;"","■ "&amp;WBS入力!A42,IF(LEN(WBS入力!B42)-LEN(SUBSTITUTE(WBS入力!B42,".",""))&lt;=1,"  ├─ "&amp;WBS入力!C42,"  │  ├─ "&amp;WBS入力!C42)))</f>
        <v/>
      </c>
      <c r="C42" s="3" t="str">
        <f>IF(AND(WBS入力!A42="",WBS入力!B42=""),"",IF(WBS入力!A42&lt;&gt;"","",WBS入力!D42))</f>
        <v/>
      </c>
      <c r="D42" s="31" t="str">
        <f>IF(AND(WBS入力!A42="",WBS入力!B42=""),"",IF(WBS入力!A42&lt;&gt;"","",IF(WBS入力!E42="","",WBS入力!E42)))</f>
        <v/>
      </c>
      <c r="E42" s="31" t="str">
        <f>IF(AND(WBS入力!A42="",WBS入力!B42=""),"",IF(WBS入力!A42&lt;&gt;"","",IF(WBS入力!J42="","",WBS入力!J42)))</f>
        <v/>
      </c>
    </row>
    <row r="43" spans="1:5" x14ac:dyDescent="0.3">
      <c r="A43" s="4" t="str">
        <f>IF(AND(WBS入力!A43="",WBS入力!B43=""),"",IF(WBS入力!A43&lt;&gt;"","★",WBS入力!B43))</f>
        <v/>
      </c>
      <c r="B43" s="3" t="str">
        <f>IF(AND(WBS入力!A43="",WBS入力!B43=""),"",IF(WBS入力!A43&lt;&gt;"","■ "&amp;WBS入力!A43,IF(LEN(WBS入力!B43)-LEN(SUBSTITUTE(WBS入力!B43,".",""))&lt;=1,"  ├─ "&amp;WBS入力!C43,"  │  ├─ "&amp;WBS入力!C43)))</f>
        <v/>
      </c>
      <c r="C43" s="3" t="str">
        <f>IF(AND(WBS入力!A43="",WBS入力!B43=""),"",IF(WBS入力!A43&lt;&gt;"","",WBS入力!D43))</f>
        <v/>
      </c>
      <c r="D43" s="31" t="str">
        <f>IF(AND(WBS入力!A43="",WBS入力!B43=""),"",IF(WBS入力!A43&lt;&gt;"","",IF(WBS入力!E43="","",WBS入力!E43)))</f>
        <v/>
      </c>
      <c r="E43" s="31" t="str">
        <f>IF(AND(WBS入力!A43="",WBS入力!B43=""),"",IF(WBS入力!A43&lt;&gt;"","",IF(WBS入力!J43="","",WBS入力!J43)))</f>
        <v/>
      </c>
    </row>
    <row r="44" spans="1:5" x14ac:dyDescent="0.3">
      <c r="A44" s="4" t="str">
        <f>IF(AND(WBS入力!A44="",WBS入力!B44=""),"",IF(WBS入力!A44&lt;&gt;"","★",WBS入力!B44))</f>
        <v/>
      </c>
      <c r="B44" s="3" t="str">
        <f>IF(AND(WBS入力!A44="",WBS入力!B44=""),"",IF(WBS入力!A44&lt;&gt;"","■ "&amp;WBS入力!A44,IF(LEN(WBS入力!B44)-LEN(SUBSTITUTE(WBS入力!B44,".",""))&lt;=1,"  ├─ "&amp;WBS入力!C44,"  │  ├─ "&amp;WBS入力!C44)))</f>
        <v/>
      </c>
      <c r="C44" s="3" t="str">
        <f>IF(AND(WBS入力!A44="",WBS入力!B44=""),"",IF(WBS入力!A44&lt;&gt;"","",WBS入力!D44))</f>
        <v/>
      </c>
      <c r="D44" s="31" t="str">
        <f>IF(AND(WBS入力!A44="",WBS入力!B44=""),"",IF(WBS入力!A44&lt;&gt;"","",IF(WBS入力!E44="","",WBS入力!E44)))</f>
        <v/>
      </c>
      <c r="E44" s="31" t="str">
        <f>IF(AND(WBS入力!A44="",WBS入力!B44=""),"",IF(WBS入力!A44&lt;&gt;"","",IF(WBS入力!J44="","",WBS入力!J44)))</f>
        <v/>
      </c>
    </row>
    <row r="45" spans="1:5" x14ac:dyDescent="0.3">
      <c r="A45" s="4" t="str">
        <f>IF(AND(WBS入力!A45="",WBS入力!B45=""),"",IF(WBS入力!A45&lt;&gt;"","★",WBS入力!B45))</f>
        <v/>
      </c>
      <c r="B45" s="3" t="str">
        <f>IF(AND(WBS入力!A45="",WBS入力!B45=""),"",IF(WBS入力!A45&lt;&gt;"","■ "&amp;WBS入力!A45,IF(LEN(WBS入力!B45)-LEN(SUBSTITUTE(WBS入力!B45,".",""))&lt;=1,"  ├─ "&amp;WBS入力!C45,"  │  ├─ "&amp;WBS入力!C45)))</f>
        <v/>
      </c>
      <c r="C45" s="3" t="str">
        <f>IF(AND(WBS入力!A45="",WBS入力!B45=""),"",IF(WBS入力!A45&lt;&gt;"","",WBS入力!D45))</f>
        <v/>
      </c>
      <c r="D45" s="31" t="str">
        <f>IF(AND(WBS入力!A45="",WBS入力!B45=""),"",IF(WBS入力!A45&lt;&gt;"","",IF(WBS入力!E45="","",WBS入力!E45)))</f>
        <v/>
      </c>
      <c r="E45" s="31" t="str">
        <f>IF(AND(WBS入力!A45="",WBS入力!B45=""),"",IF(WBS入力!A45&lt;&gt;"","",IF(WBS入力!J45="","",WBS入力!J45)))</f>
        <v/>
      </c>
    </row>
    <row r="46" spans="1:5" x14ac:dyDescent="0.3">
      <c r="A46" s="4" t="str">
        <f>IF(AND(WBS入力!A46="",WBS入力!B46=""),"",IF(WBS入力!A46&lt;&gt;"","★",WBS入力!B46))</f>
        <v/>
      </c>
      <c r="B46" s="3" t="str">
        <f>IF(AND(WBS入力!A46="",WBS入力!B46=""),"",IF(WBS入力!A46&lt;&gt;"","■ "&amp;WBS入力!A46,IF(LEN(WBS入力!B46)-LEN(SUBSTITUTE(WBS入力!B46,".",""))&lt;=1,"  ├─ "&amp;WBS入力!C46,"  │  ├─ "&amp;WBS入力!C46)))</f>
        <v/>
      </c>
      <c r="C46" s="3" t="str">
        <f>IF(AND(WBS入力!A46="",WBS入力!B46=""),"",IF(WBS入力!A46&lt;&gt;"","",WBS入力!D46))</f>
        <v/>
      </c>
      <c r="D46" s="31" t="str">
        <f>IF(AND(WBS入力!A46="",WBS入力!B46=""),"",IF(WBS入力!A46&lt;&gt;"","",IF(WBS入力!E46="","",WBS入力!E46)))</f>
        <v/>
      </c>
      <c r="E46" s="31" t="str">
        <f>IF(AND(WBS入力!A46="",WBS入力!B46=""),"",IF(WBS入力!A46&lt;&gt;"","",IF(WBS入力!J46="","",WBS入力!J46)))</f>
        <v/>
      </c>
    </row>
    <row r="47" spans="1:5" x14ac:dyDescent="0.3">
      <c r="A47" s="4" t="str">
        <f>IF(AND(WBS入力!A47="",WBS入力!B47=""),"",IF(WBS入力!A47&lt;&gt;"","★",WBS入力!B47))</f>
        <v/>
      </c>
      <c r="B47" s="3" t="str">
        <f>IF(AND(WBS入力!A47="",WBS入力!B47=""),"",IF(WBS入力!A47&lt;&gt;"","■ "&amp;WBS入力!A47,IF(LEN(WBS入力!B47)-LEN(SUBSTITUTE(WBS入力!B47,".",""))&lt;=1,"  ├─ "&amp;WBS入力!C47,"  │  ├─ "&amp;WBS入力!C47)))</f>
        <v/>
      </c>
      <c r="C47" s="3" t="str">
        <f>IF(AND(WBS入力!A47="",WBS入力!B47=""),"",IF(WBS入力!A47&lt;&gt;"","",WBS入力!D47))</f>
        <v/>
      </c>
      <c r="D47" s="31" t="str">
        <f>IF(AND(WBS入力!A47="",WBS入力!B47=""),"",IF(WBS入力!A47&lt;&gt;"","",IF(WBS入力!E47="","",WBS入力!E47)))</f>
        <v/>
      </c>
      <c r="E47" s="31" t="str">
        <f>IF(AND(WBS入力!A47="",WBS入力!B47=""),"",IF(WBS入力!A47&lt;&gt;"","",IF(WBS入力!J47="","",WBS入力!J47)))</f>
        <v/>
      </c>
    </row>
    <row r="48" spans="1:5" x14ac:dyDescent="0.3">
      <c r="A48" s="4" t="str">
        <f>IF(AND(WBS入力!A48="",WBS入力!B48=""),"",IF(WBS入力!A48&lt;&gt;"","★",WBS入力!B48))</f>
        <v/>
      </c>
      <c r="B48" s="3" t="str">
        <f>IF(AND(WBS入力!A48="",WBS入力!B48=""),"",IF(WBS入力!A48&lt;&gt;"","■ "&amp;WBS入力!A48,IF(LEN(WBS入力!B48)-LEN(SUBSTITUTE(WBS入力!B48,".",""))&lt;=1,"  ├─ "&amp;WBS入力!C48,"  │  ├─ "&amp;WBS入力!C48)))</f>
        <v/>
      </c>
      <c r="C48" s="3" t="str">
        <f>IF(AND(WBS入力!A48="",WBS入力!B48=""),"",IF(WBS入力!A48&lt;&gt;"","",WBS入力!D48))</f>
        <v/>
      </c>
      <c r="D48" s="31" t="str">
        <f>IF(AND(WBS入力!A48="",WBS入力!B48=""),"",IF(WBS入力!A48&lt;&gt;"","",IF(WBS入力!E48="","",WBS入力!E48)))</f>
        <v/>
      </c>
      <c r="E48" s="31" t="str">
        <f>IF(AND(WBS入力!A48="",WBS入力!B48=""),"",IF(WBS入力!A48&lt;&gt;"","",IF(WBS入力!J48="","",WBS入力!J48)))</f>
        <v/>
      </c>
    </row>
    <row r="49" spans="1:5" x14ac:dyDescent="0.3">
      <c r="A49" s="4" t="str">
        <f>IF(AND(WBS入力!A49="",WBS入力!B49=""),"",IF(WBS入力!A49&lt;&gt;"","★",WBS入力!B49))</f>
        <v/>
      </c>
      <c r="B49" s="3" t="str">
        <f>IF(AND(WBS入力!A49="",WBS入力!B49=""),"",IF(WBS入力!A49&lt;&gt;"","■ "&amp;WBS入力!A49,IF(LEN(WBS入力!B49)-LEN(SUBSTITUTE(WBS入力!B49,".",""))&lt;=1,"  ├─ "&amp;WBS入力!C49,"  │  ├─ "&amp;WBS入力!C49)))</f>
        <v/>
      </c>
      <c r="C49" s="3" t="str">
        <f>IF(AND(WBS入力!A49="",WBS入力!B49=""),"",IF(WBS入力!A49&lt;&gt;"","",WBS入力!D49))</f>
        <v/>
      </c>
      <c r="D49" s="31" t="str">
        <f>IF(AND(WBS入力!A49="",WBS入力!B49=""),"",IF(WBS入力!A49&lt;&gt;"","",IF(WBS入力!E49="","",WBS入力!E49)))</f>
        <v/>
      </c>
      <c r="E49" s="31" t="str">
        <f>IF(AND(WBS入力!A49="",WBS入力!B49=""),"",IF(WBS入力!A49&lt;&gt;"","",IF(WBS入力!J49="","",WBS入力!J49)))</f>
        <v/>
      </c>
    </row>
    <row r="50" spans="1:5" x14ac:dyDescent="0.3">
      <c r="A50" s="4" t="str">
        <f>IF(AND(WBS入力!A50="",WBS入力!B50=""),"",IF(WBS入力!A50&lt;&gt;"","★",WBS入力!B50))</f>
        <v/>
      </c>
      <c r="B50" s="3" t="str">
        <f>IF(AND(WBS入力!A50="",WBS入力!B50=""),"",IF(WBS入力!A50&lt;&gt;"","■ "&amp;WBS入力!A50,IF(LEN(WBS入力!B50)-LEN(SUBSTITUTE(WBS入力!B50,".",""))&lt;=1,"  ├─ "&amp;WBS入力!C50,"  │  ├─ "&amp;WBS入力!C50)))</f>
        <v/>
      </c>
      <c r="C50" s="3" t="str">
        <f>IF(AND(WBS入力!A50="",WBS入力!B50=""),"",IF(WBS入力!A50&lt;&gt;"","",WBS入力!D50))</f>
        <v/>
      </c>
      <c r="D50" s="31" t="str">
        <f>IF(AND(WBS入力!A50="",WBS入力!B50=""),"",IF(WBS入力!A50&lt;&gt;"","",IF(WBS入力!E50="","",WBS入力!E50)))</f>
        <v/>
      </c>
      <c r="E50" s="31" t="str">
        <f>IF(AND(WBS入力!A50="",WBS入力!B50=""),"",IF(WBS入力!A50&lt;&gt;"","",IF(WBS入力!J50="","",WBS入力!J50)))</f>
        <v/>
      </c>
    </row>
    <row r="51" spans="1:5" x14ac:dyDescent="0.3">
      <c r="A51" s="4" t="str">
        <f>IF(AND(WBS入力!A51="",WBS入力!B51=""),"",IF(WBS入力!A51&lt;&gt;"","★",WBS入力!B51))</f>
        <v/>
      </c>
      <c r="B51" s="3" t="str">
        <f>IF(AND(WBS入力!A51="",WBS入力!B51=""),"",IF(WBS入力!A51&lt;&gt;"","■ "&amp;WBS入力!A51,IF(LEN(WBS入力!B51)-LEN(SUBSTITUTE(WBS入力!B51,".",""))&lt;=1,"  ├─ "&amp;WBS入力!C51,"  │  ├─ "&amp;WBS入力!C51)))</f>
        <v/>
      </c>
      <c r="C51" s="3" t="str">
        <f>IF(AND(WBS入力!A51="",WBS入力!B51=""),"",IF(WBS入力!A51&lt;&gt;"","",WBS入力!D51))</f>
        <v/>
      </c>
      <c r="D51" s="31" t="str">
        <f>IF(AND(WBS入力!A51="",WBS入力!B51=""),"",IF(WBS入力!A51&lt;&gt;"","",IF(WBS入力!E51="","",WBS入力!E51)))</f>
        <v/>
      </c>
      <c r="E51" s="31" t="str">
        <f>IF(AND(WBS入力!A51="",WBS入力!B51=""),"",IF(WBS入力!A51&lt;&gt;"","",IF(WBS入力!J51="","",WBS入力!J51)))</f>
        <v/>
      </c>
    </row>
    <row r="52" spans="1:5" x14ac:dyDescent="0.3">
      <c r="A52" s="4" t="str">
        <f>IF(AND(WBS入力!A52="",WBS入力!B52=""),"",IF(WBS入力!A52&lt;&gt;"","★",WBS入力!B52))</f>
        <v/>
      </c>
      <c r="B52" s="3" t="str">
        <f>IF(AND(WBS入力!A52="",WBS入力!B52=""),"",IF(WBS入力!A52&lt;&gt;"","■ "&amp;WBS入力!A52,IF(LEN(WBS入力!B52)-LEN(SUBSTITUTE(WBS入力!B52,".",""))&lt;=1,"  ├─ "&amp;WBS入力!C52,"  │  ├─ "&amp;WBS入力!C52)))</f>
        <v/>
      </c>
      <c r="C52" s="3" t="str">
        <f>IF(AND(WBS入力!A52="",WBS入力!B52=""),"",IF(WBS入力!A52&lt;&gt;"","",WBS入力!D52))</f>
        <v/>
      </c>
      <c r="D52" s="31" t="str">
        <f>IF(AND(WBS入力!A52="",WBS入力!B52=""),"",IF(WBS入力!A52&lt;&gt;"","",IF(WBS入力!E52="","",WBS入力!E52)))</f>
        <v/>
      </c>
      <c r="E52" s="31" t="str">
        <f>IF(AND(WBS入力!A52="",WBS入力!B52=""),"",IF(WBS入力!A52&lt;&gt;"","",IF(WBS入力!J52="","",WBS入力!J52)))</f>
        <v/>
      </c>
    </row>
    <row r="53" spans="1:5" x14ac:dyDescent="0.3">
      <c r="A53" s="4" t="str">
        <f>IF(AND(WBS入力!A53="",WBS入力!B53=""),"",IF(WBS入力!A53&lt;&gt;"","★",WBS入力!B53))</f>
        <v/>
      </c>
      <c r="B53" s="3" t="str">
        <f>IF(AND(WBS入力!A53="",WBS入力!B53=""),"",IF(WBS入力!A53&lt;&gt;"","■ "&amp;WBS入力!A53,IF(LEN(WBS入力!B53)-LEN(SUBSTITUTE(WBS入力!B53,".",""))&lt;=1,"  ├─ "&amp;WBS入力!C53,"  │  ├─ "&amp;WBS入力!C53)))</f>
        <v/>
      </c>
      <c r="C53" s="3" t="str">
        <f>IF(AND(WBS入力!A53="",WBS入力!B53=""),"",IF(WBS入力!A53&lt;&gt;"","",WBS入力!D53))</f>
        <v/>
      </c>
      <c r="D53" s="31" t="str">
        <f>IF(AND(WBS入力!A53="",WBS入力!B53=""),"",IF(WBS入力!A53&lt;&gt;"","",IF(WBS入力!E53="","",WBS入力!E53)))</f>
        <v/>
      </c>
      <c r="E53" s="31" t="str">
        <f>IF(AND(WBS入力!A53="",WBS入力!B53=""),"",IF(WBS入力!A53&lt;&gt;"","",IF(WBS入力!J53="","",WBS入力!J53)))</f>
        <v/>
      </c>
    </row>
    <row r="54" spans="1:5" x14ac:dyDescent="0.3">
      <c r="A54" s="4" t="str">
        <f>IF(AND(WBS入力!A54="",WBS入力!B54=""),"",IF(WBS入力!A54&lt;&gt;"","★",WBS入力!B54))</f>
        <v/>
      </c>
      <c r="B54" s="3" t="str">
        <f>IF(AND(WBS入力!A54="",WBS入力!B54=""),"",IF(WBS入力!A54&lt;&gt;"","■ "&amp;WBS入力!A54,IF(LEN(WBS入力!B54)-LEN(SUBSTITUTE(WBS入力!B54,".",""))&lt;=1,"  ├─ "&amp;WBS入力!C54,"  │  ├─ "&amp;WBS入力!C54)))</f>
        <v/>
      </c>
      <c r="C54" s="3" t="str">
        <f>IF(AND(WBS入力!A54="",WBS入力!B54=""),"",IF(WBS入力!A54&lt;&gt;"","",WBS入力!D54))</f>
        <v/>
      </c>
      <c r="D54" s="31" t="str">
        <f>IF(AND(WBS入力!A54="",WBS入力!B54=""),"",IF(WBS入力!A54&lt;&gt;"","",IF(WBS入力!E54="","",WBS入力!E54)))</f>
        <v/>
      </c>
      <c r="E54" s="31" t="str">
        <f>IF(AND(WBS入力!A54="",WBS入力!B54=""),"",IF(WBS入力!A54&lt;&gt;"","",IF(WBS入力!J54="","",WBS入力!J54)))</f>
        <v/>
      </c>
    </row>
    <row r="55" spans="1:5" x14ac:dyDescent="0.3">
      <c r="A55" s="4" t="str">
        <f>IF(AND(WBS入力!A55="",WBS入力!B55=""),"",IF(WBS入力!A55&lt;&gt;"","★",WBS入力!B55))</f>
        <v/>
      </c>
      <c r="B55" s="3" t="str">
        <f>IF(AND(WBS入力!A55="",WBS入力!B55=""),"",IF(WBS入力!A55&lt;&gt;"","■ "&amp;WBS入力!A55,IF(LEN(WBS入力!B55)-LEN(SUBSTITUTE(WBS入力!B55,".",""))&lt;=1,"  ├─ "&amp;WBS入力!C55,"  │  ├─ "&amp;WBS入力!C55)))</f>
        <v/>
      </c>
      <c r="C55" s="3" t="str">
        <f>IF(AND(WBS入力!A55="",WBS入力!B55=""),"",IF(WBS入力!A55&lt;&gt;"","",WBS入力!D55))</f>
        <v/>
      </c>
      <c r="D55" s="31" t="str">
        <f>IF(AND(WBS入力!A55="",WBS入力!B55=""),"",IF(WBS入力!A55&lt;&gt;"","",IF(WBS入力!E55="","",WBS入力!E55)))</f>
        <v/>
      </c>
      <c r="E55" s="31" t="str">
        <f>IF(AND(WBS入力!A55="",WBS入力!B55=""),"",IF(WBS入力!A55&lt;&gt;"","",IF(WBS入力!J55="","",WBS入力!J55)))</f>
        <v/>
      </c>
    </row>
    <row r="56" spans="1:5" x14ac:dyDescent="0.3">
      <c r="A56" s="4" t="str">
        <f>IF(AND(WBS入力!A56="",WBS入力!B56=""),"",IF(WBS入力!A56&lt;&gt;"","★",WBS入力!B56))</f>
        <v/>
      </c>
      <c r="B56" s="3" t="str">
        <f>IF(AND(WBS入力!A56="",WBS入力!B56=""),"",IF(WBS入力!A56&lt;&gt;"","■ "&amp;WBS入力!A56,IF(LEN(WBS入力!B56)-LEN(SUBSTITUTE(WBS入力!B56,".",""))&lt;=1,"  ├─ "&amp;WBS入力!C56,"  │  ├─ "&amp;WBS入力!C56)))</f>
        <v/>
      </c>
      <c r="C56" s="3" t="str">
        <f>IF(AND(WBS入力!A56="",WBS入力!B56=""),"",IF(WBS入力!A56&lt;&gt;"","",WBS入力!D56))</f>
        <v/>
      </c>
      <c r="D56" s="31" t="str">
        <f>IF(AND(WBS入力!A56="",WBS入力!B56=""),"",IF(WBS入力!A56&lt;&gt;"","",IF(WBS入力!E56="","",WBS入力!E56)))</f>
        <v/>
      </c>
      <c r="E56" s="31" t="str">
        <f>IF(AND(WBS入力!A56="",WBS入力!B56=""),"",IF(WBS入力!A56&lt;&gt;"","",IF(WBS入力!J56="","",WBS入力!J56)))</f>
        <v/>
      </c>
    </row>
    <row r="57" spans="1:5" x14ac:dyDescent="0.3">
      <c r="A57" s="4" t="str">
        <f>IF(AND(WBS入力!A57="",WBS入力!B57=""),"",IF(WBS入力!A57&lt;&gt;"","★",WBS入力!B57))</f>
        <v/>
      </c>
      <c r="B57" s="3" t="str">
        <f>IF(AND(WBS入力!A57="",WBS入力!B57=""),"",IF(WBS入力!A57&lt;&gt;"","■ "&amp;WBS入力!A57,IF(LEN(WBS入力!B57)-LEN(SUBSTITUTE(WBS入力!B57,".",""))&lt;=1,"  ├─ "&amp;WBS入力!C57,"  │  ├─ "&amp;WBS入力!C57)))</f>
        <v/>
      </c>
      <c r="C57" s="3" t="str">
        <f>IF(AND(WBS入力!A57="",WBS入力!B57=""),"",IF(WBS入力!A57&lt;&gt;"","",WBS入力!D57))</f>
        <v/>
      </c>
      <c r="D57" s="31" t="str">
        <f>IF(AND(WBS入力!A57="",WBS入力!B57=""),"",IF(WBS入力!A57&lt;&gt;"","",IF(WBS入力!E57="","",WBS入力!E57)))</f>
        <v/>
      </c>
      <c r="E57" s="31" t="str">
        <f>IF(AND(WBS入力!A57="",WBS入力!B57=""),"",IF(WBS入力!A57&lt;&gt;"","",IF(WBS入力!J57="","",WBS入力!J57)))</f>
        <v/>
      </c>
    </row>
    <row r="58" spans="1:5" x14ac:dyDescent="0.3">
      <c r="A58" s="4" t="str">
        <f>IF(AND(WBS入力!A58="",WBS入力!B58=""),"",IF(WBS入力!A58&lt;&gt;"","★",WBS入力!B58))</f>
        <v/>
      </c>
      <c r="B58" s="3" t="str">
        <f>IF(AND(WBS入力!A58="",WBS入力!B58=""),"",IF(WBS入力!A58&lt;&gt;"","■ "&amp;WBS入力!A58,IF(LEN(WBS入力!B58)-LEN(SUBSTITUTE(WBS入力!B58,".",""))&lt;=1,"  ├─ "&amp;WBS入力!C58,"  │  ├─ "&amp;WBS入力!C58)))</f>
        <v/>
      </c>
      <c r="C58" s="3" t="str">
        <f>IF(AND(WBS入力!A58="",WBS入力!B58=""),"",IF(WBS入力!A58&lt;&gt;"","",WBS入力!D58))</f>
        <v/>
      </c>
      <c r="D58" s="31" t="str">
        <f>IF(AND(WBS入力!A58="",WBS入力!B58=""),"",IF(WBS入力!A58&lt;&gt;"","",IF(WBS入力!E58="","",WBS入力!E58)))</f>
        <v/>
      </c>
      <c r="E58" s="31" t="str">
        <f>IF(AND(WBS入力!A58="",WBS入力!B58=""),"",IF(WBS入力!A58&lt;&gt;"","",IF(WBS入力!J58="","",WBS入力!J58)))</f>
        <v/>
      </c>
    </row>
    <row r="59" spans="1:5" x14ac:dyDescent="0.3">
      <c r="A59" s="4" t="str">
        <f>IF(AND(WBS入力!A59="",WBS入力!B59=""),"",IF(WBS入力!A59&lt;&gt;"","★",WBS入力!B59))</f>
        <v/>
      </c>
      <c r="B59" s="3" t="str">
        <f>IF(AND(WBS入力!A59="",WBS入力!B59=""),"",IF(WBS入力!A59&lt;&gt;"","■ "&amp;WBS入力!A59,IF(LEN(WBS入力!B59)-LEN(SUBSTITUTE(WBS入力!B59,".",""))&lt;=1,"  ├─ "&amp;WBS入力!C59,"  │  ├─ "&amp;WBS入力!C59)))</f>
        <v/>
      </c>
      <c r="C59" s="3" t="str">
        <f>IF(AND(WBS入力!A59="",WBS入力!B59=""),"",IF(WBS入力!A59&lt;&gt;"","",WBS入力!D59))</f>
        <v/>
      </c>
      <c r="D59" s="31" t="str">
        <f>IF(AND(WBS入力!A59="",WBS入力!B59=""),"",IF(WBS入力!A59&lt;&gt;"","",IF(WBS入力!E59="","",WBS入力!E59)))</f>
        <v/>
      </c>
      <c r="E59" s="31" t="str">
        <f>IF(AND(WBS入力!A59="",WBS入力!B59=""),"",IF(WBS入力!A59&lt;&gt;"","",IF(WBS入力!J59="","",WBS入力!J59)))</f>
        <v/>
      </c>
    </row>
    <row r="60" spans="1:5" x14ac:dyDescent="0.3">
      <c r="A60" s="4" t="str">
        <f>IF(AND(WBS入力!A60="",WBS入力!B60=""),"",IF(WBS入力!A60&lt;&gt;"","★",WBS入力!B60))</f>
        <v/>
      </c>
      <c r="B60" s="3" t="str">
        <f>IF(AND(WBS入力!A60="",WBS入力!B60=""),"",IF(WBS入力!A60&lt;&gt;"","■ "&amp;WBS入力!A60,IF(LEN(WBS入力!B60)-LEN(SUBSTITUTE(WBS入力!B60,".",""))&lt;=1,"  ├─ "&amp;WBS入力!C60,"  │  ├─ "&amp;WBS入力!C60)))</f>
        <v/>
      </c>
      <c r="C60" s="3" t="str">
        <f>IF(AND(WBS入力!A60="",WBS入力!B60=""),"",IF(WBS入力!A60&lt;&gt;"","",WBS入力!D60))</f>
        <v/>
      </c>
      <c r="D60" s="31" t="str">
        <f>IF(AND(WBS入力!A60="",WBS入力!B60=""),"",IF(WBS入力!A60&lt;&gt;"","",IF(WBS入力!E60="","",WBS入力!E60)))</f>
        <v/>
      </c>
      <c r="E60" s="31" t="str">
        <f>IF(AND(WBS入力!A60="",WBS入力!B60=""),"",IF(WBS入力!A60&lt;&gt;"","",IF(WBS入力!J60="","",WBS入力!J60)))</f>
        <v/>
      </c>
    </row>
    <row r="61" spans="1:5" x14ac:dyDescent="0.3">
      <c r="A61" s="4" t="str">
        <f>IF(AND(WBS入力!A61="",WBS入力!B61=""),"",IF(WBS入力!A61&lt;&gt;"","★",WBS入力!B61))</f>
        <v/>
      </c>
      <c r="B61" s="3" t="str">
        <f>IF(AND(WBS入力!A61="",WBS入力!B61=""),"",IF(WBS入力!A61&lt;&gt;"","■ "&amp;WBS入力!A61,IF(LEN(WBS入力!B61)-LEN(SUBSTITUTE(WBS入力!B61,".",""))&lt;=1,"  ├─ "&amp;WBS入力!C61,"  │  ├─ "&amp;WBS入力!C61)))</f>
        <v/>
      </c>
      <c r="C61" s="3" t="str">
        <f>IF(AND(WBS入力!A61="",WBS入力!B61=""),"",IF(WBS入力!A61&lt;&gt;"","",WBS入力!D61))</f>
        <v/>
      </c>
      <c r="D61" s="31" t="str">
        <f>IF(AND(WBS入力!A61="",WBS入力!B61=""),"",IF(WBS入力!A61&lt;&gt;"","",IF(WBS入力!E61="","",WBS入力!E61)))</f>
        <v/>
      </c>
      <c r="E61" s="31" t="str">
        <f>IF(AND(WBS入力!A61="",WBS入力!B61=""),"",IF(WBS入力!A61&lt;&gt;"","",IF(WBS入力!J61="","",WBS入力!J61)))</f>
        <v/>
      </c>
    </row>
    <row r="62" spans="1:5" x14ac:dyDescent="0.3">
      <c r="A62" s="4" t="str">
        <f>IF(AND(WBS入力!A62="",WBS入力!B62=""),"",IF(WBS入力!A62&lt;&gt;"","★",WBS入力!B62))</f>
        <v/>
      </c>
      <c r="B62" s="3" t="str">
        <f>IF(AND(WBS入力!A62="",WBS入力!B62=""),"",IF(WBS入力!A62&lt;&gt;"","■ "&amp;WBS入力!A62,IF(LEN(WBS入力!B62)-LEN(SUBSTITUTE(WBS入力!B62,".",""))&lt;=1,"  ├─ "&amp;WBS入力!C62,"  │  ├─ "&amp;WBS入力!C62)))</f>
        <v/>
      </c>
      <c r="C62" s="3" t="str">
        <f>IF(AND(WBS入力!A62="",WBS入力!B62=""),"",IF(WBS入力!A62&lt;&gt;"","",WBS入力!D62))</f>
        <v/>
      </c>
      <c r="D62" s="31" t="str">
        <f>IF(AND(WBS入力!A62="",WBS入力!B62=""),"",IF(WBS入力!A62&lt;&gt;"","",IF(WBS入力!E62="","",WBS入力!E62)))</f>
        <v/>
      </c>
      <c r="E62" s="31" t="str">
        <f>IF(AND(WBS入力!A62="",WBS入力!B62=""),"",IF(WBS入力!A62&lt;&gt;"","",IF(WBS入力!J62="","",WBS入力!J62)))</f>
        <v/>
      </c>
    </row>
    <row r="63" spans="1:5" x14ac:dyDescent="0.3">
      <c r="A63" s="4" t="str">
        <f>IF(AND(WBS入力!A63="",WBS入力!B63=""),"",IF(WBS入力!A63&lt;&gt;"","★",WBS入力!B63))</f>
        <v/>
      </c>
      <c r="B63" s="3" t="str">
        <f>IF(AND(WBS入力!A63="",WBS入力!B63=""),"",IF(WBS入力!A63&lt;&gt;"","■ "&amp;WBS入力!A63,IF(LEN(WBS入力!B63)-LEN(SUBSTITUTE(WBS入力!B63,".",""))&lt;=1,"  ├─ "&amp;WBS入力!C63,"  │  ├─ "&amp;WBS入力!C63)))</f>
        <v/>
      </c>
      <c r="C63" s="3" t="str">
        <f>IF(AND(WBS入力!A63="",WBS入力!B63=""),"",IF(WBS入力!A63&lt;&gt;"","",WBS入力!D63))</f>
        <v/>
      </c>
      <c r="D63" s="31" t="str">
        <f>IF(AND(WBS入力!A63="",WBS入力!B63=""),"",IF(WBS入力!A63&lt;&gt;"","",IF(WBS入力!E63="","",WBS入力!E63)))</f>
        <v/>
      </c>
      <c r="E63" s="31" t="str">
        <f>IF(AND(WBS入力!A63="",WBS入力!B63=""),"",IF(WBS入力!A63&lt;&gt;"","",IF(WBS入力!J63="","",WBS入力!J63)))</f>
        <v/>
      </c>
    </row>
    <row r="64" spans="1:5" x14ac:dyDescent="0.3">
      <c r="A64" s="4" t="str">
        <f>IF(AND(WBS入力!A64="",WBS入力!B64=""),"",IF(WBS入力!A64&lt;&gt;"","★",WBS入力!B64))</f>
        <v/>
      </c>
      <c r="B64" s="3" t="str">
        <f>IF(AND(WBS入力!A64="",WBS入力!B64=""),"",IF(WBS入力!A64&lt;&gt;"","■ "&amp;WBS入力!A64,IF(LEN(WBS入力!B64)-LEN(SUBSTITUTE(WBS入力!B64,".",""))&lt;=1,"  ├─ "&amp;WBS入力!C64,"  │  ├─ "&amp;WBS入力!C64)))</f>
        <v/>
      </c>
      <c r="C64" s="3" t="str">
        <f>IF(AND(WBS入力!A64="",WBS入力!B64=""),"",IF(WBS入力!A64&lt;&gt;"","",WBS入力!D64))</f>
        <v/>
      </c>
      <c r="D64" s="31" t="str">
        <f>IF(AND(WBS入力!A64="",WBS入力!B64=""),"",IF(WBS入力!A64&lt;&gt;"","",IF(WBS入力!E64="","",WBS入力!E64)))</f>
        <v/>
      </c>
      <c r="E64" s="31" t="str">
        <f>IF(AND(WBS入力!A64="",WBS入力!B64=""),"",IF(WBS入力!A64&lt;&gt;"","",IF(WBS入力!J64="","",WBS入力!J64)))</f>
        <v/>
      </c>
    </row>
    <row r="65" spans="1:5" x14ac:dyDescent="0.3">
      <c r="A65" s="4" t="str">
        <f>IF(AND(WBS入力!A65="",WBS入力!B65=""),"",IF(WBS入力!A65&lt;&gt;"","★",WBS入力!B65))</f>
        <v/>
      </c>
      <c r="B65" s="3" t="str">
        <f>IF(AND(WBS入力!A65="",WBS入力!B65=""),"",IF(WBS入力!A65&lt;&gt;"","■ "&amp;WBS入力!A65,IF(LEN(WBS入力!B65)-LEN(SUBSTITUTE(WBS入力!B65,".",""))&lt;=1,"  ├─ "&amp;WBS入力!C65,"  │  ├─ "&amp;WBS入力!C65)))</f>
        <v/>
      </c>
      <c r="C65" s="3" t="str">
        <f>IF(AND(WBS入力!A65="",WBS入力!B65=""),"",IF(WBS入力!A65&lt;&gt;"","",WBS入力!D65))</f>
        <v/>
      </c>
      <c r="D65" s="31" t="str">
        <f>IF(AND(WBS入力!A65="",WBS入力!B65=""),"",IF(WBS入力!A65&lt;&gt;"","",IF(WBS入力!E65="","",WBS入力!E65)))</f>
        <v/>
      </c>
      <c r="E65" s="31" t="str">
        <f>IF(AND(WBS入力!A65="",WBS入力!B65=""),"",IF(WBS入力!A65&lt;&gt;"","",IF(WBS入力!J65="","",WBS入力!J65)))</f>
        <v/>
      </c>
    </row>
    <row r="66" spans="1:5" x14ac:dyDescent="0.3">
      <c r="A66" s="4" t="str">
        <f>IF(AND(WBS入力!A66="",WBS入力!B66=""),"",IF(WBS入力!A66&lt;&gt;"","★",WBS入力!B66))</f>
        <v/>
      </c>
      <c r="B66" s="3" t="str">
        <f>IF(AND(WBS入力!A66="",WBS入力!B66=""),"",IF(WBS入力!A66&lt;&gt;"","■ "&amp;WBS入力!A66,IF(LEN(WBS入力!B66)-LEN(SUBSTITUTE(WBS入力!B66,".",""))&lt;=1,"  ├─ "&amp;WBS入力!C66,"  │  ├─ "&amp;WBS入力!C66)))</f>
        <v/>
      </c>
      <c r="C66" s="3" t="str">
        <f>IF(AND(WBS入力!A66="",WBS入力!B66=""),"",IF(WBS入力!A66&lt;&gt;"","",WBS入力!D66))</f>
        <v/>
      </c>
      <c r="D66" s="31" t="str">
        <f>IF(AND(WBS入力!A66="",WBS入力!B66=""),"",IF(WBS入力!A66&lt;&gt;"","",IF(WBS入力!E66="","",WBS入力!E66)))</f>
        <v/>
      </c>
      <c r="E66" s="31" t="str">
        <f>IF(AND(WBS入力!A66="",WBS入力!B66=""),"",IF(WBS入力!A66&lt;&gt;"","",IF(WBS入力!J66="","",WBS入力!J66)))</f>
        <v/>
      </c>
    </row>
    <row r="67" spans="1:5" x14ac:dyDescent="0.3">
      <c r="A67" s="4" t="str">
        <f>IF(AND(WBS入力!A67="",WBS入力!B67=""),"",IF(WBS入力!A67&lt;&gt;"","★",WBS入力!B67))</f>
        <v/>
      </c>
      <c r="B67" s="3" t="str">
        <f>IF(AND(WBS入力!A67="",WBS入力!B67=""),"",IF(WBS入力!A67&lt;&gt;"","■ "&amp;WBS入力!A67,IF(LEN(WBS入力!B67)-LEN(SUBSTITUTE(WBS入力!B67,".",""))&lt;=1,"  ├─ "&amp;WBS入力!C67,"  │  ├─ "&amp;WBS入力!C67)))</f>
        <v/>
      </c>
      <c r="C67" s="3" t="str">
        <f>IF(AND(WBS入力!A67="",WBS入力!B67=""),"",IF(WBS入力!A67&lt;&gt;"","",WBS入力!D67))</f>
        <v/>
      </c>
      <c r="D67" s="31" t="str">
        <f>IF(AND(WBS入力!A67="",WBS入力!B67=""),"",IF(WBS入力!A67&lt;&gt;"","",IF(WBS入力!E67="","",WBS入力!E67)))</f>
        <v/>
      </c>
      <c r="E67" s="31" t="str">
        <f>IF(AND(WBS入力!A67="",WBS入力!B67=""),"",IF(WBS入力!A67&lt;&gt;"","",IF(WBS入力!J67="","",WBS入力!J67)))</f>
        <v/>
      </c>
    </row>
    <row r="68" spans="1:5" x14ac:dyDescent="0.3">
      <c r="A68" s="4" t="str">
        <f>IF(AND(WBS入力!A68="",WBS入力!B68=""),"",IF(WBS入力!A68&lt;&gt;"","★",WBS入力!B68))</f>
        <v/>
      </c>
      <c r="B68" s="3" t="str">
        <f>IF(AND(WBS入力!A68="",WBS入力!B68=""),"",IF(WBS入力!A68&lt;&gt;"","■ "&amp;WBS入力!A68,IF(LEN(WBS入力!B68)-LEN(SUBSTITUTE(WBS入力!B68,".",""))&lt;=1,"  ├─ "&amp;WBS入力!C68,"  │  ├─ "&amp;WBS入力!C68)))</f>
        <v/>
      </c>
      <c r="C68" s="3" t="str">
        <f>IF(AND(WBS入力!A68="",WBS入力!B68=""),"",IF(WBS入力!A68&lt;&gt;"","",WBS入力!D68))</f>
        <v/>
      </c>
      <c r="D68" s="31" t="str">
        <f>IF(AND(WBS入力!A68="",WBS入力!B68=""),"",IF(WBS入力!A68&lt;&gt;"","",IF(WBS入力!E68="","",WBS入力!E68)))</f>
        <v/>
      </c>
      <c r="E68" s="31" t="str">
        <f>IF(AND(WBS入力!A68="",WBS入力!B68=""),"",IF(WBS入力!A68&lt;&gt;"","",IF(WBS入力!J68="","",WBS入力!J68)))</f>
        <v/>
      </c>
    </row>
    <row r="69" spans="1:5" x14ac:dyDescent="0.3">
      <c r="A69" s="4" t="str">
        <f>IF(AND(WBS入力!A69="",WBS入力!B69=""),"",IF(WBS入力!A69&lt;&gt;"","★",WBS入力!B69))</f>
        <v/>
      </c>
      <c r="B69" s="3" t="str">
        <f>IF(AND(WBS入力!A69="",WBS入力!B69=""),"",IF(WBS入力!A69&lt;&gt;"","■ "&amp;WBS入力!A69,IF(LEN(WBS入力!B69)-LEN(SUBSTITUTE(WBS入力!B69,".",""))&lt;=1,"  ├─ "&amp;WBS入力!C69,"  │  ├─ "&amp;WBS入力!C69)))</f>
        <v/>
      </c>
      <c r="C69" s="3" t="str">
        <f>IF(AND(WBS入力!A69="",WBS入力!B69=""),"",IF(WBS入力!A69&lt;&gt;"","",WBS入力!D69))</f>
        <v/>
      </c>
      <c r="D69" s="31" t="str">
        <f>IF(AND(WBS入力!A69="",WBS入力!B69=""),"",IF(WBS入力!A69&lt;&gt;"","",IF(WBS入力!E69="","",WBS入力!E69)))</f>
        <v/>
      </c>
      <c r="E69" s="31" t="str">
        <f>IF(AND(WBS入力!A69="",WBS入力!B69=""),"",IF(WBS入力!A69&lt;&gt;"","",IF(WBS入力!J69="","",WBS入力!J69)))</f>
        <v/>
      </c>
    </row>
    <row r="70" spans="1:5" x14ac:dyDescent="0.3">
      <c r="A70" s="4" t="str">
        <f>IF(AND(WBS入力!A70="",WBS入力!B70=""),"",IF(WBS入力!A70&lt;&gt;"","★",WBS入力!B70))</f>
        <v/>
      </c>
      <c r="B70" s="3" t="str">
        <f>IF(AND(WBS入力!A70="",WBS入力!B70=""),"",IF(WBS入力!A70&lt;&gt;"","■ "&amp;WBS入力!A70,IF(LEN(WBS入力!B70)-LEN(SUBSTITUTE(WBS入力!B70,".",""))&lt;=1,"  ├─ "&amp;WBS入力!C70,"  │  ├─ "&amp;WBS入力!C70)))</f>
        <v/>
      </c>
      <c r="C70" s="3" t="str">
        <f>IF(AND(WBS入力!A70="",WBS入力!B70=""),"",IF(WBS入力!A70&lt;&gt;"","",WBS入力!D70))</f>
        <v/>
      </c>
      <c r="D70" s="31" t="str">
        <f>IF(AND(WBS入力!A70="",WBS入力!B70=""),"",IF(WBS入力!A70&lt;&gt;"","",IF(WBS入力!E70="","",WBS入力!E70)))</f>
        <v/>
      </c>
      <c r="E70" s="31" t="str">
        <f>IF(AND(WBS入力!A70="",WBS入力!B70=""),"",IF(WBS入力!A70&lt;&gt;"","",IF(WBS入力!J70="","",WBS入力!J70)))</f>
        <v/>
      </c>
    </row>
    <row r="71" spans="1:5" x14ac:dyDescent="0.3">
      <c r="A71" s="4" t="str">
        <f>IF(AND(WBS入力!A71="",WBS入力!B71=""),"",IF(WBS入力!A71&lt;&gt;"","★",WBS入力!B71))</f>
        <v/>
      </c>
      <c r="B71" s="3" t="str">
        <f>IF(AND(WBS入力!A71="",WBS入力!B71=""),"",IF(WBS入力!A71&lt;&gt;"","■ "&amp;WBS入力!A71,IF(LEN(WBS入力!B71)-LEN(SUBSTITUTE(WBS入力!B71,".",""))&lt;=1,"  ├─ "&amp;WBS入力!C71,"  │  ├─ "&amp;WBS入力!C71)))</f>
        <v/>
      </c>
      <c r="C71" s="3" t="str">
        <f>IF(AND(WBS入力!A71="",WBS入力!B71=""),"",IF(WBS入力!A71&lt;&gt;"","",WBS入力!D71))</f>
        <v/>
      </c>
      <c r="D71" s="31" t="str">
        <f>IF(AND(WBS入力!A71="",WBS入力!B71=""),"",IF(WBS入力!A71&lt;&gt;"","",IF(WBS入力!E71="","",WBS入力!E71)))</f>
        <v/>
      </c>
      <c r="E71" s="31" t="str">
        <f>IF(AND(WBS入力!A71="",WBS入力!B71=""),"",IF(WBS入力!A71&lt;&gt;"","",IF(WBS入力!J71="","",WBS入力!J71)))</f>
        <v/>
      </c>
    </row>
    <row r="72" spans="1:5" x14ac:dyDescent="0.3">
      <c r="A72" s="4" t="str">
        <f>IF(AND(WBS入力!A72="",WBS入力!B72=""),"",IF(WBS入力!A72&lt;&gt;"","★",WBS入力!B72))</f>
        <v/>
      </c>
      <c r="B72" s="3" t="str">
        <f>IF(AND(WBS入力!A72="",WBS入力!B72=""),"",IF(WBS入力!A72&lt;&gt;"","■ "&amp;WBS入力!A72,IF(LEN(WBS入力!B72)-LEN(SUBSTITUTE(WBS入力!B72,".",""))&lt;=1,"  ├─ "&amp;WBS入力!C72,"  │  ├─ "&amp;WBS入力!C72)))</f>
        <v/>
      </c>
      <c r="C72" s="3" t="str">
        <f>IF(AND(WBS入力!A72="",WBS入力!B72=""),"",IF(WBS入力!A72&lt;&gt;"","",WBS入力!D72))</f>
        <v/>
      </c>
      <c r="D72" s="31" t="str">
        <f>IF(AND(WBS入力!A72="",WBS入力!B72=""),"",IF(WBS入力!A72&lt;&gt;"","",IF(WBS入力!E72="","",WBS入力!E72)))</f>
        <v/>
      </c>
      <c r="E72" s="31" t="str">
        <f>IF(AND(WBS入力!A72="",WBS入力!B72=""),"",IF(WBS入力!A72&lt;&gt;"","",IF(WBS入力!J72="","",WBS入力!J72)))</f>
        <v/>
      </c>
    </row>
    <row r="73" spans="1:5" x14ac:dyDescent="0.3">
      <c r="A73" s="4" t="str">
        <f>IF(AND(WBS入力!A73="",WBS入力!B73=""),"",IF(WBS入力!A73&lt;&gt;"","★",WBS入力!B73))</f>
        <v/>
      </c>
      <c r="B73" s="3" t="str">
        <f>IF(AND(WBS入力!A73="",WBS入力!B73=""),"",IF(WBS入力!A73&lt;&gt;"","■ "&amp;WBS入力!A73,IF(LEN(WBS入力!B73)-LEN(SUBSTITUTE(WBS入力!B73,".",""))&lt;=1,"  ├─ "&amp;WBS入力!C73,"  │  ├─ "&amp;WBS入力!C73)))</f>
        <v/>
      </c>
      <c r="C73" s="3" t="str">
        <f>IF(AND(WBS入力!A73="",WBS入力!B73=""),"",IF(WBS入力!A73&lt;&gt;"","",WBS入力!D73))</f>
        <v/>
      </c>
      <c r="D73" s="31" t="str">
        <f>IF(AND(WBS入力!A73="",WBS入力!B73=""),"",IF(WBS入力!A73&lt;&gt;"","",IF(WBS入力!E73="","",WBS入力!E73)))</f>
        <v/>
      </c>
      <c r="E73" s="31" t="str">
        <f>IF(AND(WBS入力!A73="",WBS入力!B73=""),"",IF(WBS入力!A73&lt;&gt;"","",IF(WBS入力!J73="","",WBS入力!J73)))</f>
        <v/>
      </c>
    </row>
    <row r="74" spans="1:5" x14ac:dyDescent="0.3">
      <c r="A74" s="4" t="str">
        <f>IF(AND(WBS入力!A74="",WBS入力!B74=""),"",IF(WBS入力!A74&lt;&gt;"","★",WBS入力!B74))</f>
        <v/>
      </c>
      <c r="B74" s="3" t="str">
        <f>IF(AND(WBS入力!A74="",WBS入力!B74=""),"",IF(WBS入力!A74&lt;&gt;"","■ "&amp;WBS入力!A74,IF(LEN(WBS入力!B74)-LEN(SUBSTITUTE(WBS入力!B74,".",""))&lt;=1,"  ├─ "&amp;WBS入力!C74,"  │  ├─ "&amp;WBS入力!C74)))</f>
        <v/>
      </c>
      <c r="C74" s="3" t="str">
        <f>IF(AND(WBS入力!A74="",WBS入力!B74=""),"",IF(WBS入力!A74&lt;&gt;"","",WBS入力!D74))</f>
        <v/>
      </c>
      <c r="D74" s="31" t="str">
        <f>IF(AND(WBS入力!A74="",WBS入力!B74=""),"",IF(WBS入力!A74&lt;&gt;"","",IF(WBS入力!E74="","",WBS入力!E74)))</f>
        <v/>
      </c>
      <c r="E74" s="31" t="str">
        <f>IF(AND(WBS入力!A74="",WBS入力!B74=""),"",IF(WBS入力!A74&lt;&gt;"","",IF(WBS入力!J74="","",WBS入力!J74)))</f>
        <v/>
      </c>
    </row>
    <row r="75" spans="1:5" x14ac:dyDescent="0.3">
      <c r="A75" s="4" t="str">
        <f>IF(AND(WBS入力!A75="",WBS入力!B75=""),"",IF(WBS入力!A75&lt;&gt;"","★",WBS入力!B75))</f>
        <v/>
      </c>
      <c r="B75" s="3" t="str">
        <f>IF(AND(WBS入力!A75="",WBS入力!B75=""),"",IF(WBS入力!A75&lt;&gt;"","■ "&amp;WBS入力!A75,IF(LEN(WBS入力!B75)-LEN(SUBSTITUTE(WBS入力!B75,".",""))&lt;=1,"  ├─ "&amp;WBS入力!C75,"  │  ├─ "&amp;WBS入力!C75)))</f>
        <v/>
      </c>
      <c r="C75" s="3" t="str">
        <f>IF(AND(WBS入力!A75="",WBS入力!B75=""),"",IF(WBS入力!A75&lt;&gt;"","",WBS入力!D75))</f>
        <v/>
      </c>
      <c r="D75" s="31" t="str">
        <f>IF(AND(WBS入力!A75="",WBS入力!B75=""),"",IF(WBS入力!A75&lt;&gt;"","",IF(WBS入力!E75="","",WBS入力!E75)))</f>
        <v/>
      </c>
      <c r="E75" s="31" t="str">
        <f>IF(AND(WBS入力!A75="",WBS入力!B75=""),"",IF(WBS入力!A75&lt;&gt;"","",IF(WBS入力!J75="","",WBS入力!J75)))</f>
        <v/>
      </c>
    </row>
    <row r="76" spans="1:5" x14ac:dyDescent="0.3">
      <c r="A76" s="4" t="str">
        <f>IF(AND(WBS入力!A76="",WBS入力!B76=""),"",IF(WBS入力!A76&lt;&gt;"","★",WBS入力!B76))</f>
        <v/>
      </c>
      <c r="B76" s="3" t="str">
        <f>IF(AND(WBS入力!A76="",WBS入力!B76=""),"",IF(WBS入力!A76&lt;&gt;"","■ "&amp;WBS入力!A76,IF(LEN(WBS入力!B76)-LEN(SUBSTITUTE(WBS入力!B76,".",""))&lt;=1,"  ├─ "&amp;WBS入力!C76,"  │  ├─ "&amp;WBS入力!C76)))</f>
        <v/>
      </c>
      <c r="C76" s="3" t="str">
        <f>IF(AND(WBS入力!A76="",WBS入力!B76=""),"",IF(WBS入力!A76&lt;&gt;"","",WBS入力!D76))</f>
        <v/>
      </c>
      <c r="D76" s="31" t="str">
        <f>IF(AND(WBS入力!A76="",WBS入力!B76=""),"",IF(WBS入力!A76&lt;&gt;"","",IF(WBS入力!E76="","",WBS入力!E76)))</f>
        <v/>
      </c>
      <c r="E76" s="31" t="str">
        <f>IF(AND(WBS入力!A76="",WBS入力!B76=""),"",IF(WBS入力!A76&lt;&gt;"","",IF(WBS入力!J76="","",WBS入力!J76)))</f>
        <v/>
      </c>
    </row>
    <row r="77" spans="1:5" x14ac:dyDescent="0.3">
      <c r="A77" s="4" t="str">
        <f>IF(AND(WBS入力!A77="",WBS入力!B77=""),"",IF(WBS入力!A77&lt;&gt;"","★",WBS入力!B77))</f>
        <v/>
      </c>
      <c r="B77" s="3" t="str">
        <f>IF(AND(WBS入力!A77="",WBS入力!B77=""),"",IF(WBS入力!A77&lt;&gt;"","■ "&amp;WBS入力!A77,IF(LEN(WBS入力!B77)-LEN(SUBSTITUTE(WBS入力!B77,".",""))&lt;=1,"  ├─ "&amp;WBS入力!C77,"  │  ├─ "&amp;WBS入力!C77)))</f>
        <v/>
      </c>
      <c r="C77" s="3" t="str">
        <f>IF(AND(WBS入力!A77="",WBS入力!B77=""),"",IF(WBS入力!A77&lt;&gt;"","",WBS入力!D77))</f>
        <v/>
      </c>
      <c r="D77" s="31" t="str">
        <f>IF(AND(WBS入力!A77="",WBS入力!B77=""),"",IF(WBS入力!A77&lt;&gt;"","",IF(WBS入力!E77="","",WBS入力!E77)))</f>
        <v/>
      </c>
      <c r="E77" s="31" t="str">
        <f>IF(AND(WBS入力!A77="",WBS入力!B77=""),"",IF(WBS入力!A77&lt;&gt;"","",IF(WBS入力!J77="","",WBS入力!J77)))</f>
        <v/>
      </c>
    </row>
    <row r="78" spans="1:5" x14ac:dyDescent="0.3">
      <c r="A78" s="4" t="str">
        <f>IF(AND(WBS入力!A78="",WBS入力!B78=""),"",IF(WBS入力!A78&lt;&gt;"","★",WBS入力!B78))</f>
        <v/>
      </c>
      <c r="B78" s="3" t="str">
        <f>IF(AND(WBS入力!A78="",WBS入力!B78=""),"",IF(WBS入力!A78&lt;&gt;"","■ "&amp;WBS入力!A78,IF(LEN(WBS入力!B78)-LEN(SUBSTITUTE(WBS入力!B78,".",""))&lt;=1,"  ├─ "&amp;WBS入力!C78,"  │  ├─ "&amp;WBS入力!C78)))</f>
        <v/>
      </c>
      <c r="C78" s="3" t="str">
        <f>IF(AND(WBS入力!A78="",WBS入力!B78=""),"",IF(WBS入力!A78&lt;&gt;"","",WBS入力!D78))</f>
        <v/>
      </c>
      <c r="D78" s="31" t="str">
        <f>IF(AND(WBS入力!A78="",WBS入力!B78=""),"",IF(WBS入力!A78&lt;&gt;"","",IF(WBS入力!E78="","",WBS入力!E78)))</f>
        <v/>
      </c>
      <c r="E78" s="31" t="str">
        <f>IF(AND(WBS入力!A78="",WBS入力!B78=""),"",IF(WBS入力!A78&lt;&gt;"","",IF(WBS入力!J78="","",WBS入力!J78)))</f>
        <v/>
      </c>
    </row>
    <row r="79" spans="1:5" x14ac:dyDescent="0.3">
      <c r="A79" s="4" t="str">
        <f>IF(AND(WBS入力!A79="",WBS入力!B79=""),"",IF(WBS入力!A79&lt;&gt;"","★",WBS入力!B79))</f>
        <v/>
      </c>
      <c r="B79" s="3" t="str">
        <f>IF(AND(WBS入力!A79="",WBS入力!B79=""),"",IF(WBS入力!A79&lt;&gt;"","■ "&amp;WBS入力!A79,IF(LEN(WBS入力!B79)-LEN(SUBSTITUTE(WBS入力!B79,".",""))&lt;=1,"  ├─ "&amp;WBS入力!C79,"  │  ├─ "&amp;WBS入力!C79)))</f>
        <v/>
      </c>
      <c r="C79" s="3" t="str">
        <f>IF(AND(WBS入力!A79="",WBS入力!B79=""),"",IF(WBS入力!A79&lt;&gt;"","",WBS入力!D79))</f>
        <v/>
      </c>
      <c r="D79" s="31" t="str">
        <f>IF(AND(WBS入力!A79="",WBS入力!B79=""),"",IF(WBS入力!A79&lt;&gt;"","",IF(WBS入力!E79="","",WBS入力!E79)))</f>
        <v/>
      </c>
      <c r="E79" s="31" t="str">
        <f>IF(AND(WBS入力!A79="",WBS入力!B79=""),"",IF(WBS入力!A79&lt;&gt;"","",IF(WBS入力!J79="","",WBS入力!J79)))</f>
        <v/>
      </c>
    </row>
    <row r="80" spans="1:5" x14ac:dyDescent="0.3">
      <c r="A80" s="4" t="str">
        <f>IF(AND(WBS入力!A80="",WBS入力!B80=""),"",IF(WBS入力!A80&lt;&gt;"","★",WBS入力!B80))</f>
        <v/>
      </c>
      <c r="B80" s="3" t="str">
        <f>IF(AND(WBS入力!A80="",WBS入力!B80=""),"",IF(WBS入力!A80&lt;&gt;"","■ "&amp;WBS入力!A80,IF(LEN(WBS入力!B80)-LEN(SUBSTITUTE(WBS入力!B80,".",""))&lt;=1,"  ├─ "&amp;WBS入力!C80,"  │  ├─ "&amp;WBS入力!C80)))</f>
        <v/>
      </c>
      <c r="C80" s="3" t="str">
        <f>IF(AND(WBS入力!A80="",WBS入力!B80=""),"",IF(WBS入力!A80&lt;&gt;"","",WBS入力!D80))</f>
        <v/>
      </c>
      <c r="D80" s="31" t="str">
        <f>IF(AND(WBS入力!A80="",WBS入力!B80=""),"",IF(WBS入力!A80&lt;&gt;"","",IF(WBS入力!E80="","",WBS入力!E80)))</f>
        <v/>
      </c>
      <c r="E80" s="31" t="str">
        <f>IF(AND(WBS入力!A80="",WBS入力!B80=""),"",IF(WBS入力!A80&lt;&gt;"","",IF(WBS入力!J80="","",WBS入力!J80)))</f>
        <v/>
      </c>
    </row>
    <row r="81" spans="1:5" x14ac:dyDescent="0.3">
      <c r="A81" s="4" t="str">
        <f>IF(AND(WBS入力!A81="",WBS入力!B81=""),"",IF(WBS入力!A81&lt;&gt;"","★",WBS入力!B81))</f>
        <v/>
      </c>
      <c r="B81" s="3" t="str">
        <f>IF(AND(WBS入力!A81="",WBS入力!B81=""),"",IF(WBS入力!A81&lt;&gt;"","■ "&amp;WBS入力!A81,IF(LEN(WBS入力!B81)-LEN(SUBSTITUTE(WBS入力!B81,".",""))&lt;=1,"  ├─ "&amp;WBS入力!C81,"  │  ├─ "&amp;WBS入力!C81)))</f>
        <v/>
      </c>
      <c r="C81" s="3" t="str">
        <f>IF(AND(WBS入力!A81="",WBS入力!B81=""),"",IF(WBS入力!A81&lt;&gt;"","",WBS入力!D81))</f>
        <v/>
      </c>
      <c r="D81" s="31" t="str">
        <f>IF(AND(WBS入力!A81="",WBS入力!B81=""),"",IF(WBS入力!A81&lt;&gt;"","",IF(WBS入力!E81="","",WBS入力!E81)))</f>
        <v/>
      </c>
      <c r="E81" s="31" t="str">
        <f>IF(AND(WBS入力!A81="",WBS入力!B81=""),"",IF(WBS入力!A81&lt;&gt;"","",IF(WBS入力!J81="","",WBS入力!J81)))</f>
        <v/>
      </c>
    </row>
    <row r="82" spans="1:5" x14ac:dyDescent="0.3">
      <c r="A82" s="4" t="str">
        <f>IF(AND(WBS入力!A82="",WBS入力!B82=""),"",IF(WBS入力!A82&lt;&gt;"","★",WBS入力!B82))</f>
        <v/>
      </c>
      <c r="B82" s="3" t="str">
        <f>IF(AND(WBS入力!A82="",WBS入力!B82=""),"",IF(WBS入力!A82&lt;&gt;"","■ "&amp;WBS入力!A82,IF(LEN(WBS入力!B82)-LEN(SUBSTITUTE(WBS入力!B82,".",""))&lt;=1,"  ├─ "&amp;WBS入力!C82,"  │  ├─ "&amp;WBS入力!C82)))</f>
        <v/>
      </c>
      <c r="C82" s="3" t="str">
        <f>IF(AND(WBS入力!A82="",WBS入力!B82=""),"",IF(WBS入力!A82&lt;&gt;"","",WBS入力!D82))</f>
        <v/>
      </c>
      <c r="D82" s="31" t="str">
        <f>IF(AND(WBS入力!A82="",WBS入力!B82=""),"",IF(WBS入力!A82&lt;&gt;"","",IF(WBS入力!E82="","",WBS入力!E82)))</f>
        <v/>
      </c>
      <c r="E82" s="31" t="str">
        <f>IF(AND(WBS入力!A82="",WBS入力!B82=""),"",IF(WBS入力!A82&lt;&gt;"","",IF(WBS入力!J82="","",WBS入力!J82)))</f>
        <v/>
      </c>
    </row>
    <row r="83" spans="1:5" x14ac:dyDescent="0.3">
      <c r="A83" s="4" t="str">
        <f>IF(AND(WBS入力!A83="",WBS入力!B83=""),"",IF(WBS入力!A83&lt;&gt;"","★",WBS入力!B83))</f>
        <v/>
      </c>
      <c r="B83" s="3" t="str">
        <f>IF(AND(WBS入力!A83="",WBS入力!B83=""),"",IF(WBS入力!A83&lt;&gt;"","■ "&amp;WBS入力!A83,IF(LEN(WBS入力!B83)-LEN(SUBSTITUTE(WBS入力!B83,".",""))&lt;=1,"  ├─ "&amp;WBS入力!C83,"  │  ├─ "&amp;WBS入力!C83)))</f>
        <v/>
      </c>
      <c r="C83" s="3" t="str">
        <f>IF(AND(WBS入力!A83="",WBS入力!B83=""),"",IF(WBS入力!A83&lt;&gt;"","",WBS入力!D83))</f>
        <v/>
      </c>
      <c r="D83" s="31" t="str">
        <f>IF(AND(WBS入力!A83="",WBS入力!B83=""),"",IF(WBS入力!A83&lt;&gt;"","",IF(WBS入力!E83="","",WBS入力!E83)))</f>
        <v/>
      </c>
      <c r="E83" s="31" t="str">
        <f>IF(AND(WBS入力!A83="",WBS入力!B83=""),"",IF(WBS入力!A83&lt;&gt;"","",IF(WBS入力!J83="","",WBS入力!J83)))</f>
        <v/>
      </c>
    </row>
    <row r="84" spans="1:5" x14ac:dyDescent="0.3">
      <c r="A84" s="4" t="str">
        <f>IF(AND(WBS入力!A84="",WBS入力!B84=""),"",IF(WBS入力!A84&lt;&gt;"","★",WBS入力!B84))</f>
        <v/>
      </c>
      <c r="B84" s="3" t="str">
        <f>IF(AND(WBS入力!A84="",WBS入力!B84=""),"",IF(WBS入力!A84&lt;&gt;"","■ "&amp;WBS入力!A84,IF(LEN(WBS入力!B84)-LEN(SUBSTITUTE(WBS入力!B84,".",""))&lt;=1,"  ├─ "&amp;WBS入力!C84,"  │  ├─ "&amp;WBS入力!C84)))</f>
        <v/>
      </c>
      <c r="C84" s="3" t="str">
        <f>IF(AND(WBS入力!A84="",WBS入力!B84=""),"",IF(WBS入力!A84&lt;&gt;"","",WBS入力!D84))</f>
        <v/>
      </c>
      <c r="D84" s="31" t="str">
        <f>IF(AND(WBS入力!A84="",WBS入力!B84=""),"",IF(WBS入力!A84&lt;&gt;"","",IF(WBS入力!E84="","",WBS入力!E84)))</f>
        <v/>
      </c>
      <c r="E84" s="31" t="str">
        <f>IF(AND(WBS入力!A84="",WBS入力!B84=""),"",IF(WBS入力!A84&lt;&gt;"","",IF(WBS入力!J84="","",WBS入力!J84)))</f>
        <v/>
      </c>
    </row>
    <row r="85" spans="1:5" x14ac:dyDescent="0.3">
      <c r="A85" s="4" t="str">
        <f>IF(AND(WBS入力!A85="",WBS入力!B85=""),"",IF(WBS入力!A85&lt;&gt;"","★",WBS入力!B85))</f>
        <v/>
      </c>
      <c r="B85" s="3" t="str">
        <f>IF(AND(WBS入力!A85="",WBS入力!B85=""),"",IF(WBS入力!A85&lt;&gt;"","■ "&amp;WBS入力!A85,IF(LEN(WBS入力!B85)-LEN(SUBSTITUTE(WBS入力!B85,".",""))&lt;=1,"  ├─ "&amp;WBS入力!C85,"  │  ├─ "&amp;WBS入力!C85)))</f>
        <v/>
      </c>
      <c r="C85" s="3" t="str">
        <f>IF(AND(WBS入力!A85="",WBS入力!B85=""),"",IF(WBS入力!A85&lt;&gt;"","",WBS入力!D85))</f>
        <v/>
      </c>
      <c r="D85" s="31" t="str">
        <f>IF(AND(WBS入力!A85="",WBS入力!B85=""),"",IF(WBS入力!A85&lt;&gt;"","",IF(WBS入力!E85="","",WBS入力!E85)))</f>
        <v/>
      </c>
      <c r="E85" s="31" t="str">
        <f>IF(AND(WBS入力!A85="",WBS入力!B85=""),"",IF(WBS入力!A85&lt;&gt;"","",IF(WBS入力!J85="","",WBS入力!J85)))</f>
        <v/>
      </c>
    </row>
    <row r="86" spans="1:5" x14ac:dyDescent="0.3">
      <c r="A86" s="4" t="str">
        <f>IF(AND(WBS入力!A86="",WBS入力!B86=""),"",IF(WBS入力!A86&lt;&gt;"","★",WBS入力!B86))</f>
        <v/>
      </c>
      <c r="B86" s="3" t="str">
        <f>IF(AND(WBS入力!A86="",WBS入力!B86=""),"",IF(WBS入力!A86&lt;&gt;"","■ "&amp;WBS入力!A86,IF(LEN(WBS入力!B86)-LEN(SUBSTITUTE(WBS入力!B86,".",""))&lt;=1,"  ├─ "&amp;WBS入力!C86,"  │  ├─ "&amp;WBS入力!C86)))</f>
        <v/>
      </c>
      <c r="C86" s="3" t="str">
        <f>IF(AND(WBS入力!A86="",WBS入力!B86=""),"",IF(WBS入力!A86&lt;&gt;"","",WBS入力!D86))</f>
        <v/>
      </c>
      <c r="D86" s="31" t="str">
        <f>IF(AND(WBS入力!A86="",WBS入力!B86=""),"",IF(WBS入力!A86&lt;&gt;"","",IF(WBS入力!E86="","",WBS入力!E86)))</f>
        <v/>
      </c>
      <c r="E86" s="31" t="str">
        <f>IF(AND(WBS入力!A86="",WBS入力!B86=""),"",IF(WBS入力!A86&lt;&gt;"","",IF(WBS入力!J86="","",WBS入力!J86)))</f>
        <v/>
      </c>
    </row>
    <row r="87" spans="1:5" x14ac:dyDescent="0.3">
      <c r="A87" s="4" t="str">
        <f>IF(AND(WBS入力!A87="",WBS入力!B87=""),"",IF(WBS入力!A87&lt;&gt;"","★",WBS入力!B87))</f>
        <v/>
      </c>
      <c r="B87" s="3" t="str">
        <f>IF(AND(WBS入力!A87="",WBS入力!B87=""),"",IF(WBS入力!A87&lt;&gt;"","■ "&amp;WBS入力!A87,IF(LEN(WBS入力!B87)-LEN(SUBSTITUTE(WBS入力!B87,".",""))&lt;=1,"  ├─ "&amp;WBS入力!C87,"  │  ├─ "&amp;WBS入力!C87)))</f>
        <v/>
      </c>
      <c r="C87" s="3" t="str">
        <f>IF(AND(WBS入力!A87="",WBS入力!B87=""),"",IF(WBS入力!A87&lt;&gt;"","",WBS入力!D87))</f>
        <v/>
      </c>
      <c r="D87" s="31" t="str">
        <f>IF(AND(WBS入力!A87="",WBS入力!B87=""),"",IF(WBS入力!A87&lt;&gt;"","",IF(WBS入力!E87="","",WBS入力!E87)))</f>
        <v/>
      </c>
      <c r="E87" s="31" t="str">
        <f>IF(AND(WBS入力!A87="",WBS入力!B87=""),"",IF(WBS入力!A87&lt;&gt;"","",IF(WBS入力!J87="","",WBS入力!J87)))</f>
        <v/>
      </c>
    </row>
    <row r="88" spans="1:5" x14ac:dyDescent="0.3">
      <c r="A88" s="4" t="str">
        <f>IF(AND(WBS入力!A88="",WBS入力!B88=""),"",IF(WBS入力!A88&lt;&gt;"","★",WBS入力!B88))</f>
        <v/>
      </c>
      <c r="B88" s="3" t="str">
        <f>IF(AND(WBS入力!A88="",WBS入力!B88=""),"",IF(WBS入力!A88&lt;&gt;"","■ "&amp;WBS入力!A88,IF(LEN(WBS入力!B88)-LEN(SUBSTITUTE(WBS入力!B88,".",""))&lt;=1,"  ├─ "&amp;WBS入力!C88,"  │  ├─ "&amp;WBS入力!C88)))</f>
        <v/>
      </c>
      <c r="C88" s="3" t="str">
        <f>IF(AND(WBS入力!A88="",WBS入力!B88=""),"",IF(WBS入力!A88&lt;&gt;"","",WBS入力!D88))</f>
        <v/>
      </c>
      <c r="D88" s="31" t="str">
        <f>IF(AND(WBS入力!A88="",WBS入力!B88=""),"",IF(WBS入力!A88&lt;&gt;"","",IF(WBS入力!E88="","",WBS入力!E88)))</f>
        <v/>
      </c>
      <c r="E88" s="31" t="str">
        <f>IF(AND(WBS入力!A88="",WBS入力!B88=""),"",IF(WBS入力!A88&lt;&gt;"","",IF(WBS入力!J88="","",WBS入力!J88)))</f>
        <v/>
      </c>
    </row>
    <row r="89" spans="1:5" x14ac:dyDescent="0.3">
      <c r="A89" s="4" t="str">
        <f>IF(AND(WBS入力!A89="",WBS入力!B89=""),"",IF(WBS入力!A89&lt;&gt;"","★",WBS入力!B89))</f>
        <v/>
      </c>
      <c r="B89" s="3" t="str">
        <f>IF(AND(WBS入力!A89="",WBS入力!B89=""),"",IF(WBS入力!A89&lt;&gt;"","■ "&amp;WBS入力!A89,IF(LEN(WBS入力!B89)-LEN(SUBSTITUTE(WBS入力!B89,".",""))&lt;=1,"  ├─ "&amp;WBS入力!C89,"  │  ├─ "&amp;WBS入力!C89)))</f>
        <v/>
      </c>
      <c r="C89" s="3" t="str">
        <f>IF(AND(WBS入力!A89="",WBS入力!B89=""),"",IF(WBS入力!A89&lt;&gt;"","",WBS入力!D89))</f>
        <v/>
      </c>
      <c r="D89" s="31" t="str">
        <f>IF(AND(WBS入力!A89="",WBS入力!B89=""),"",IF(WBS入力!A89&lt;&gt;"","",IF(WBS入力!E89="","",WBS入力!E89)))</f>
        <v/>
      </c>
      <c r="E89" s="31" t="str">
        <f>IF(AND(WBS入力!A89="",WBS入力!B89=""),"",IF(WBS入力!A89&lt;&gt;"","",IF(WBS入力!J89="","",WBS入力!J89)))</f>
        <v/>
      </c>
    </row>
    <row r="90" spans="1:5" x14ac:dyDescent="0.3">
      <c r="A90" s="4" t="str">
        <f>IF(AND(WBS入力!A90="",WBS入力!B90=""),"",IF(WBS入力!A90&lt;&gt;"","★",WBS入力!B90))</f>
        <v/>
      </c>
      <c r="B90" s="3" t="str">
        <f>IF(AND(WBS入力!A90="",WBS入力!B90=""),"",IF(WBS入力!A90&lt;&gt;"","■ "&amp;WBS入力!A90,IF(LEN(WBS入力!B90)-LEN(SUBSTITUTE(WBS入力!B90,".",""))&lt;=1,"  ├─ "&amp;WBS入力!C90,"  │  ├─ "&amp;WBS入力!C90)))</f>
        <v/>
      </c>
      <c r="C90" s="3" t="str">
        <f>IF(AND(WBS入力!A90="",WBS入力!B90=""),"",IF(WBS入力!A90&lt;&gt;"","",WBS入力!D90))</f>
        <v/>
      </c>
      <c r="D90" s="31" t="str">
        <f>IF(AND(WBS入力!A90="",WBS入力!B90=""),"",IF(WBS入力!A90&lt;&gt;"","",IF(WBS入力!E90="","",WBS入力!E90)))</f>
        <v/>
      </c>
      <c r="E90" s="31" t="str">
        <f>IF(AND(WBS入力!A90="",WBS入力!B90=""),"",IF(WBS入力!A90&lt;&gt;"","",IF(WBS入力!J90="","",WBS入力!J90)))</f>
        <v/>
      </c>
    </row>
    <row r="91" spans="1:5" x14ac:dyDescent="0.3">
      <c r="A91" s="4" t="str">
        <f>IF(AND(WBS入力!A91="",WBS入力!B91=""),"",IF(WBS入力!A91&lt;&gt;"","★",WBS入力!B91))</f>
        <v/>
      </c>
      <c r="B91" s="3" t="str">
        <f>IF(AND(WBS入力!A91="",WBS入力!B91=""),"",IF(WBS入力!A91&lt;&gt;"","■ "&amp;WBS入力!A91,IF(LEN(WBS入力!B91)-LEN(SUBSTITUTE(WBS入力!B91,".",""))&lt;=1,"  ├─ "&amp;WBS入力!C91,"  │  ├─ "&amp;WBS入力!C91)))</f>
        <v/>
      </c>
      <c r="C91" s="3" t="str">
        <f>IF(AND(WBS入力!A91="",WBS入力!B91=""),"",IF(WBS入力!A91&lt;&gt;"","",WBS入力!D91))</f>
        <v/>
      </c>
      <c r="D91" s="31" t="str">
        <f>IF(AND(WBS入力!A91="",WBS入力!B91=""),"",IF(WBS入力!A91&lt;&gt;"","",IF(WBS入力!E91="","",WBS入力!E91)))</f>
        <v/>
      </c>
      <c r="E91" s="31" t="str">
        <f>IF(AND(WBS入力!A91="",WBS入力!B91=""),"",IF(WBS入力!A91&lt;&gt;"","",IF(WBS入力!J91="","",WBS入力!J91)))</f>
        <v/>
      </c>
    </row>
    <row r="92" spans="1:5" x14ac:dyDescent="0.3">
      <c r="A92" s="4" t="str">
        <f>IF(AND(WBS入力!A92="",WBS入力!B92=""),"",IF(WBS入力!A92&lt;&gt;"","★",WBS入力!B92))</f>
        <v/>
      </c>
      <c r="B92" s="3" t="str">
        <f>IF(AND(WBS入力!A92="",WBS入力!B92=""),"",IF(WBS入力!A92&lt;&gt;"","■ "&amp;WBS入力!A92,IF(LEN(WBS入力!B92)-LEN(SUBSTITUTE(WBS入力!B92,".",""))&lt;=1,"  ├─ "&amp;WBS入力!C92,"  │  ├─ "&amp;WBS入力!C92)))</f>
        <v/>
      </c>
      <c r="C92" s="3" t="str">
        <f>IF(AND(WBS入力!A92="",WBS入力!B92=""),"",IF(WBS入力!A92&lt;&gt;"","",WBS入力!D92))</f>
        <v/>
      </c>
      <c r="D92" s="31" t="str">
        <f>IF(AND(WBS入力!A92="",WBS入力!B92=""),"",IF(WBS入力!A92&lt;&gt;"","",IF(WBS入力!E92="","",WBS入力!E92)))</f>
        <v/>
      </c>
      <c r="E92" s="31" t="str">
        <f>IF(AND(WBS入力!A92="",WBS入力!B92=""),"",IF(WBS入力!A92&lt;&gt;"","",IF(WBS入力!J92="","",WBS入力!J92)))</f>
        <v/>
      </c>
    </row>
    <row r="93" spans="1:5" x14ac:dyDescent="0.3">
      <c r="A93" s="4" t="str">
        <f>IF(AND(WBS入力!A93="",WBS入力!B93=""),"",IF(WBS入力!A93&lt;&gt;"","★",WBS入力!B93))</f>
        <v/>
      </c>
      <c r="B93" s="3" t="str">
        <f>IF(AND(WBS入力!A93="",WBS入力!B93=""),"",IF(WBS入力!A93&lt;&gt;"","■ "&amp;WBS入力!A93,IF(LEN(WBS入力!B93)-LEN(SUBSTITUTE(WBS入力!B93,".",""))&lt;=1,"  ├─ "&amp;WBS入力!C93,"  │  ├─ "&amp;WBS入力!C93)))</f>
        <v/>
      </c>
      <c r="C93" s="3" t="str">
        <f>IF(AND(WBS入力!A93="",WBS入力!B93=""),"",IF(WBS入力!A93&lt;&gt;"","",WBS入力!D93))</f>
        <v/>
      </c>
      <c r="D93" s="31" t="str">
        <f>IF(AND(WBS入力!A93="",WBS入力!B93=""),"",IF(WBS入力!A93&lt;&gt;"","",IF(WBS入力!E93="","",WBS入力!E93)))</f>
        <v/>
      </c>
      <c r="E93" s="31" t="str">
        <f>IF(AND(WBS入力!A93="",WBS入力!B93=""),"",IF(WBS入力!A93&lt;&gt;"","",IF(WBS入力!J93="","",WBS入力!J93)))</f>
        <v/>
      </c>
    </row>
    <row r="94" spans="1:5" x14ac:dyDescent="0.3">
      <c r="A94" s="4" t="str">
        <f>IF(AND(WBS入力!A94="",WBS入力!B94=""),"",IF(WBS入力!A94&lt;&gt;"","★",WBS入力!B94))</f>
        <v/>
      </c>
      <c r="B94" s="3" t="str">
        <f>IF(AND(WBS入力!A94="",WBS入力!B94=""),"",IF(WBS入力!A94&lt;&gt;"","■ "&amp;WBS入力!A94,IF(LEN(WBS入力!B94)-LEN(SUBSTITUTE(WBS入力!B94,".",""))&lt;=1,"  ├─ "&amp;WBS入力!C94,"  │  ├─ "&amp;WBS入力!C94)))</f>
        <v/>
      </c>
      <c r="C94" s="3" t="str">
        <f>IF(AND(WBS入力!A94="",WBS入力!B94=""),"",IF(WBS入力!A94&lt;&gt;"","",WBS入力!D94))</f>
        <v/>
      </c>
      <c r="D94" s="31" t="str">
        <f>IF(AND(WBS入力!A94="",WBS入力!B94=""),"",IF(WBS入力!A94&lt;&gt;"","",IF(WBS入力!E94="","",WBS入力!E94)))</f>
        <v/>
      </c>
      <c r="E94" s="31" t="str">
        <f>IF(AND(WBS入力!A94="",WBS入力!B94=""),"",IF(WBS入力!A94&lt;&gt;"","",IF(WBS入力!J94="","",WBS入力!J94)))</f>
        <v/>
      </c>
    </row>
    <row r="95" spans="1:5" x14ac:dyDescent="0.3">
      <c r="A95" s="4" t="str">
        <f>IF(AND(WBS入力!A95="",WBS入力!B95=""),"",IF(WBS入力!A95&lt;&gt;"","★",WBS入力!B95))</f>
        <v/>
      </c>
      <c r="B95" s="3" t="str">
        <f>IF(AND(WBS入力!A95="",WBS入力!B95=""),"",IF(WBS入力!A95&lt;&gt;"","■ "&amp;WBS入力!A95,IF(LEN(WBS入力!B95)-LEN(SUBSTITUTE(WBS入力!B95,".",""))&lt;=1,"  ├─ "&amp;WBS入力!C95,"  │  ├─ "&amp;WBS入力!C95)))</f>
        <v/>
      </c>
      <c r="C95" s="3" t="str">
        <f>IF(AND(WBS入力!A95="",WBS入力!B95=""),"",IF(WBS入力!A95&lt;&gt;"","",WBS入力!D95))</f>
        <v/>
      </c>
      <c r="D95" s="31" t="str">
        <f>IF(AND(WBS入力!A95="",WBS入力!B95=""),"",IF(WBS入力!A95&lt;&gt;"","",IF(WBS入力!E95="","",WBS入力!E95)))</f>
        <v/>
      </c>
      <c r="E95" s="31" t="str">
        <f>IF(AND(WBS入力!A95="",WBS入力!B95=""),"",IF(WBS入力!A95&lt;&gt;"","",IF(WBS入力!J95="","",WBS入力!J95)))</f>
        <v/>
      </c>
    </row>
    <row r="96" spans="1:5" x14ac:dyDescent="0.3">
      <c r="A96" s="4" t="str">
        <f>IF(AND(WBS入力!A96="",WBS入力!B96=""),"",IF(WBS入力!A96&lt;&gt;"","★",WBS入力!B96))</f>
        <v/>
      </c>
      <c r="B96" s="3" t="str">
        <f>IF(AND(WBS入力!A96="",WBS入力!B96=""),"",IF(WBS入力!A96&lt;&gt;"","■ "&amp;WBS入力!A96,IF(LEN(WBS入力!B96)-LEN(SUBSTITUTE(WBS入力!B96,".",""))&lt;=1,"  ├─ "&amp;WBS入力!C96,"  │  ├─ "&amp;WBS入力!C96)))</f>
        <v/>
      </c>
      <c r="C96" s="3" t="str">
        <f>IF(AND(WBS入力!A96="",WBS入力!B96=""),"",IF(WBS入力!A96&lt;&gt;"","",WBS入力!D96))</f>
        <v/>
      </c>
      <c r="D96" s="31" t="str">
        <f>IF(AND(WBS入力!A96="",WBS入力!B96=""),"",IF(WBS入力!A96&lt;&gt;"","",IF(WBS入力!E96="","",WBS入力!E96)))</f>
        <v/>
      </c>
      <c r="E96" s="31" t="str">
        <f>IF(AND(WBS入力!A96="",WBS入力!B96=""),"",IF(WBS入力!A96&lt;&gt;"","",IF(WBS入力!J96="","",WBS入力!J96)))</f>
        <v/>
      </c>
    </row>
    <row r="97" spans="1:5" x14ac:dyDescent="0.3">
      <c r="A97" s="4" t="str">
        <f>IF(AND(WBS入力!A97="",WBS入力!B97=""),"",IF(WBS入力!A97&lt;&gt;"","★",WBS入力!B97))</f>
        <v/>
      </c>
      <c r="B97" s="3" t="str">
        <f>IF(AND(WBS入力!A97="",WBS入力!B97=""),"",IF(WBS入力!A97&lt;&gt;"","■ "&amp;WBS入力!A97,IF(LEN(WBS入力!B97)-LEN(SUBSTITUTE(WBS入力!B97,".",""))&lt;=1,"  ├─ "&amp;WBS入力!C97,"  │  ├─ "&amp;WBS入力!C97)))</f>
        <v/>
      </c>
      <c r="C97" s="3" t="str">
        <f>IF(AND(WBS入力!A97="",WBS入力!B97=""),"",IF(WBS入力!A97&lt;&gt;"","",WBS入力!D97))</f>
        <v/>
      </c>
      <c r="D97" s="31" t="str">
        <f>IF(AND(WBS入力!A97="",WBS入力!B97=""),"",IF(WBS入力!A97&lt;&gt;"","",IF(WBS入力!E97="","",WBS入力!E97)))</f>
        <v/>
      </c>
      <c r="E97" s="31" t="str">
        <f>IF(AND(WBS入力!A97="",WBS入力!B97=""),"",IF(WBS入力!A97&lt;&gt;"","",IF(WBS入力!J97="","",WBS入力!J97)))</f>
        <v/>
      </c>
    </row>
    <row r="98" spans="1:5" x14ac:dyDescent="0.3">
      <c r="A98" s="4" t="str">
        <f>IF(AND(WBS入力!A98="",WBS入力!B98=""),"",IF(WBS入力!A98&lt;&gt;"","★",WBS入力!B98))</f>
        <v/>
      </c>
      <c r="B98" s="3" t="str">
        <f>IF(AND(WBS入力!A98="",WBS入力!B98=""),"",IF(WBS入力!A98&lt;&gt;"","■ "&amp;WBS入力!A98,IF(LEN(WBS入力!B98)-LEN(SUBSTITUTE(WBS入力!B98,".",""))&lt;=1,"  ├─ "&amp;WBS入力!C98,"  │  ├─ "&amp;WBS入力!C98)))</f>
        <v/>
      </c>
      <c r="C98" s="3" t="str">
        <f>IF(AND(WBS入力!A98="",WBS入力!B98=""),"",IF(WBS入力!A98&lt;&gt;"","",WBS入力!D98))</f>
        <v/>
      </c>
      <c r="D98" s="31" t="str">
        <f>IF(AND(WBS入力!A98="",WBS入力!B98=""),"",IF(WBS入力!A98&lt;&gt;"","",IF(WBS入力!E98="","",WBS入力!E98)))</f>
        <v/>
      </c>
      <c r="E98" s="31" t="str">
        <f>IF(AND(WBS入力!A98="",WBS入力!B98=""),"",IF(WBS入力!A98&lt;&gt;"","",IF(WBS入力!J98="","",WBS入力!J98)))</f>
        <v/>
      </c>
    </row>
    <row r="99" spans="1:5" x14ac:dyDescent="0.3">
      <c r="A99" s="4" t="str">
        <f>IF(AND(WBS入力!A99="",WBS入力!B99=""),"",IF(WBS入力!A99&lt;&gt;"","★",WBS入力!B99))</f>
        <v/>
      </c>
      <c r="B99" s="3" t="str">
        <f>IF(AND(WBS入力!A99="",WBS入力!B99=""),"",IF(WBS入力!A99&lt;&gt;"","■ "&amp;WBS入力!A99,IF(LEN(WBS入力!B99)-LEN(SUBSTITUTE(WBS入力!B99,".",""))&lt;=1,"  ├─ "&amp;WBS入力!C99,"  │  ├─ "&amp;WBS入力!C99)))</f>
        <v/>
      </c>
      <c r="C99" s="3" t="str">
        <f>IF(AND(WBS入力!A99="",WBS入力!B99=""),"",IF(WBS入力!A99&lt;&gt;"","",WBS入力!D99))</f>
        <v/>
      </c>
      <c r="D99" s="31" t="str">
        <f>IF(AND(WBS入力!A99="",WBS入力!B99=""),"",IF(WBS入力!A99&lt;&gt;"","",IF(WBS入力!E99="","",WBS入力!E99)))</f>
        <v/>
      </c>
      <c r="E99" s="31" t="str">
        <f>IF(AND(WBS入力!A99="",WBS入力!B99=""),"",IF(WBS入力!A99&lt;&gt;"","",IF(WBS入力!J99="","",WBS入力!J99)))</f>
        <v/>
      </c>
    </row>
    <row r="100" spans="1:5" x14ac:dyDescent="0.3">
      <c r="A100" s="4" t="str">
        <f>IF(AND(WBS入力!A100="",WBS入力!B100=""),"",IF(WBS入力!A100&lt;&gt;"","★",WBS入力!B100))</f>
        <v/>
      </c>
      <c r="B100" s="3" t="str">
        <f>IF(AND(WBS入力!A100="",WBS入力!B100=""),"",IF(WBS入力!A100&lt;&gt;"","■ "&amp;WBS入力!A100,IF(LEN(WBS入力!B100)-LEN(SUBSTITUTE(WBS入力!B100,".",""))&lt;=1,"  ├─ "&amp;WBS入力!C100,"  │  ├─ "&amp;WBS入力!C100)))</f>
        <v/>
      </c>
      <c r="C100" s="3" t="str">
        <f>IF(AND(WBS入力!A100="",WBS入力!B100=""),"",IF(WBS入力!A100&lt;&gt;"","",WBS入力!D100))</f>
        <v/>
      </c>
      <c r="D100" s="31" t="str">
        <f>IF(AND(WBS入力!A100="",WBS入力!B100=""),"",IF(WBS入力!A100&lt;&gt;"","",IF(WBS入力!E100="","",WBS入力!E100)))</f>
        <v/>
      </c>
      <c r="E100" s="31" t="str">
        <f>IF(AND(WBS入力!A100="",WBS入力!B100=""),"",IF(WBS入力!A100&lt;&gt;"","",IF(WBS入力!J100="","",WBS入力!J100)))</f>
        <v/>
      </c>
    </row>
    <row r="101" spans="1:5" x14ac:dyDescent="0.3">
      <c r="A101" s="4" t="str">
        <f>IF(AND(WBS入力!A95="",WBS入力!B95=""),"",IF(WBS入力!A95&lt;&gt;"","★",WBS入力!B95))</f>
        <v/>
      </c>
      <c r="B101" s="3" t="str">
        <f>IF(AND(WBS入力!A95="",WBS入力!B95=""),"",IF(WBS入力!A95&lt;&gt;"","■ "&amp;WBS入力!A95,IF(LEN(WBS入力!B95)-LEN(SUBSTITUTE(WBS入力!B95,".",""))&lt;=1,"  ├─ "&amp;WBS入力!C95,"  │  ├─ "&amp;WBS入力!C95)))</f>
        <v/>
      </c>
      <c r="C101" s="3" t="str">
        <f>IF(AND(WBS入力!A95="",WBS入力!B95=""),"",IF(WBS入力!A95&lt;&gt;"","",WBS入力!D95))</f>
        <v/>
      </c>
    </row>
  </sheetData>
  <conditionalFormatting sqref="A5:C101">
    <cfRule type="expression" dxfId="7" priority="1">
      <formula>LEFT($B5,1)="■"</formula>
    </cfRule>
    <cfRule type="expression" dxfId="6" priority="2">
      <formula>AND(LEFT($B5,1)&lt;&gt;"■",$B5&lt;&gt;"",LEN($A5)-LEN(SUBSTITUTE($A5,".",""))&lt;=1,$A5&lt;&gt;"★")</formula>
    </cfRule>
  </conditionalFormatting>
  <conditionalFormatting sqref="E5:E100">
    <cfRule type="cellIs" dxfId="5" priority="3" operator="equal">
      <formula>"完了"</formula>
    </cfRule>
    <cfRule type="cellIs" dxfId="4" priority="4" operator="equal">
      <formula>"進行中"</formula>
    </cfRule>
    <cfRule type="cellIs" dxfId="3" priority="5" operator="equal">
      <formula>"遅延"</formula>
    </cfRule>
    <cfRule type="cellIs" dxfId="2" priority="6" operator="equal">
      <formula>"保留"</formula>
    </cfRule>
    <cfRule type="cellIs" dxfId="1" priority="7" operator="equal">
      <formula>"未着手"</formula>
    </cfRule>
    <cfRule type="cellIs" dxfId="0" priority="8" operator="equal">
      <formula>"中止"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CFF8-0632-4098-AF88-B46F8644B5D3}">
  <dimension ref="A1:C57"/>
  <sheetViews>
    <sheetView showGridLines="0" zoomScale="70" zoomScaleNormal="70" workbookViewId="0">
      <selection activeCell="C2" sqref="C2"/>
    </sheetView>
  </sheetViews>
  <sheetFormatPr defaultRowHeight="14.4" x14ac:dyDescent="0.3"/>
  <cols>
    <col min="1" max="1" width="37" customWidth="1"/>
    <col min="2" max="2" width="70.33203125" customWidth="1"/>
    <col min="3" max="3" width="61.109375" customWidth="1"/>
  </cols>
  <sheetData>
    <row r="1" spans="1:3" ht="22.8" x14ac:dyDescent="0.45">
      <c r="A1" s="6" t="s">
        <v>155</v>
      </c>
      <c r="B1" s="2"/>
      <c r="C1" s="2"/>
    </row>
    <row r="2" spans="1:3" ht="15" x14ac:dyDescent="0.3">
      <c r="A2" s="2"/>
      <c r="B2" s="2"/>
      <c r="C2" s="2"/>
    </row>
    <row r="3" spans="1:3" ht="16.2" x14ac:dyDescent="0.3">
      <c r="A3" s="7" t="s">
        <v>82</v>
      </c>
      <c r="B3" s="2"/>
      <c r="C3" s="2"/>
    </row>
    <row r="4" spans="1:3" ht="15" x14ac:dyDescent="0.3">
      <c r="A4" s="9" t="s">
        <v>83</v>
      </c>
      <c r="B4" s="9" t="s">
        <v>84</v>
      </c>
      <c r="C4" s="9" t="s">
        <v>85</v>
      </c>
    </row>
    <row r="5" spans="1:3" ht="15" x14ac:dyDescent="0.3">
      <c r="A5" s="10" t="s">
        <v>86</v>
      </c>
      <c r="B5" s="11" t="s">
        <v>87</v>
      </c>
      <c r="C5" s="11" t="s">
        <v>88</v>
      </c>
    </row>
    <row r="6" spans="1:3" ht="15" x14ac:dyDescent="0.3">
      <c r="A6" s="10" t="s">
        <v>89</v>
      </c>
      <c r="B6" s="11" t="s">
        <v>90</v>
      </c>
      <c r="C6" s="12" t="s">
        <v>156</v>
      </c>
    </row>
    <row r="7" spans="1:3" ht="15" x14ac:dyDescent="0.3">
      <c r="A7" s="10" t="s">
        <v>91</v>
      </c>
      <c r="B7" s="11" t="s">
        <v>92</v>
      </c>
      <c r="C7" s="11" t="s">
        <v>93</v>
      </c>
    </row>
    <row r="8" spans="1:3" ht="15" x14ac:dyDescent="0.3">
      <c r="A8" s="2"/>
      <c r="B8" s="2"/>
      <c r="C8" s="2"/>
    </row>
    <row r="9" spans="1:3" ht="16.2" x14ac:dyDescent="0.3">
      <c r="A9" s="7" t="s">
        <v>94</v>
      </c>
      <c r="B9" s="2"/>
      <c r="C9" s="2"/>
    </row>
    <row r="10" spans="1:3" ht="15" x14ac:dyDescent="0.3">
      <c r="A10" s="2"/>
      <c r="B10" s="2"/>
      <c r="C10" s="2"/>
    </row>
    <row r="11" spans="1:3" ht="15" x14ac:dyDescent="0.3">
      <c r="A11" s="5" t="s">
        <v>95</v>
      </c>
      <c r="B11" s="2"/>
      <c r="C11" s="2"/>
    </row>
    <row r="12" spans="1:3" ht="15" x14ac:dyDescent="0.3">
      <c r="A12" s="2" t="s">
        <v>96</v>
      </c>
      <c r="B12" s="2" t="s">
        <v>97</v>
      </c>
      <c r="C12" s="2"/>
    </row>
    <row r="13" spans="1:3" ht="15" x14ac:dyDescent="0.3">
      <c r="A13" s="2" t="s">
        <v>98</v>
      </c>
      <c r="B13" s="2" t="s">
        <v>99</v>
      </c>
      <c r="C13" s="2"/>
    </row>
    <row r="14" spans="1:3" ht="15" x14ac:dyDescent="0.3">
      <c r="A14" s="2" t="s">
        <v>100</v>
      </c>
      <c r="B14" s="2" t="s">
        <v>101</v>
      </c>
      <c r="C14" s="2"/>
    </row>
    <row r="15" spans="1:3" ht="15" x14ac:dyDescent="0.3">
      <c r="A15" s="2" t="s">
        <v>102</v>
      </c>
      <c r="B15" s="2" t="s">
        <v>103</v>
      </c>
      <c r="C15" s="2"/>
    </row>
    <row r="16" spans="1:3" ht="15" x14ac:dyDescent="0.3">
      <c r="A16" s="32" t="s">
        <v>200</v>
      </c>
      <c r="B16" s="32" t="s">
        <v>186</v>
      </c>
      <c r="C16" s="2"/>
    </row>
    <row r="17" spans="1:3" ht="15" x14ac:dyDescent="0.3">
      <c r="A17" s="2"/>
      <c r="B17" s="2"/>
      <c r="C17" s="2"/>
    </row>
    <row r="18" spans="1:3" ht="15" x14ac:dyDescent="0.3">
      <c r="A18" s="5" t="s">
        <v>104</v>
      </c>
      <c r="B18" s="2"/>
      <c r="C18" s="2"/>
    </row>
    <row r="19" spans="1:3" ht="15" x14ac:dyDescent="0.3">
      <c r="A19" s="2" t="s">
        <v>105</v>
      </c>
      <c r="B19" s="2" t="s">
        <v>106</v>
      </c>
      <c r="C19" s="2"/>
    </row>
    <row r="20" spans="1:3" ht="15" x14ac:dyDescent="0.3">
      <c r="A20" s="2" t="s">
        <v>107</v>
      </c>
      <c r="B20" s="2" t="s">
        <v>108</v>
      </c>
      <c r="C20" s="2"/>
    </row>
    <row r="21" spans="1:3" ht="15" x14ac:dyDescent="0.3">
      <c r="A21" s="2" t="s">
        <v>109</v>
      </c>
      <c r="B21" s="2" t="s">
        <v>110</v>
      </c>
      <c r="C21" s="2"/>
    </row>
    <row r="22" spans="1:3" ht="15" x14ac:dyDescent="0.3">
      <c r="A22" s="2"/>
      <c r="B22" s="2"/>
      <c r="C22" s="2"/>
    </row>
    <row r="23" spans="1:3" ht="15" x14ac:dyDescent="0.3">
      <c r="A23" s="8" t="s">
        <v>111</v>
      </c>
      <c r="B23" s="2"/>
      <c r="C23" s="2"/>
    </row>
    <row r="24" spans="1:3" ht="15" x14ac:dyDescent="0.3">
      <c r="A24" s="2">
        <v>1</v>
      </c>
      <c r="B24" s="2" t="s">
        <v>112</v>
      </c>
      <c r="C24" s="2"/>
    </row>
    <row r="25" spans="1:3" ht="15" x14ac:dyDescent="0.3">
      <c r="A25" s="2">
        <v>2</v>
      </c>
      <c r="B25" s="2" t="s">
        <v>113</v>
      </c>
      <c r="C25" s="2"/>
    </row>
    <row r="26" spans="1:3" ht="15" x14ac:dyDescent="0.3">
      <c r="A26" s="2">
        <v>3</v>
      </c>
      <c r="B26" s="2" t="s">
        <v>114</v>
      </c>
      <c r="C26" s="2"/>
    </row>
    <row r="27" spans="1:3" ht="15" x14ac:dyDescent="0.3">
      <c r="A27" s="2"/>
      <c r="B27" s="2"/>
      <c r="C27" s="2"/>
    </row>
    <row r="28" spans="1:3" ht="16.2" x14ac:dyDescent="0.3">
      <c r="A28" s="7" t="s">
        <v>115</v>
      </c>
      <c r="B28" s="2"/>
      <c r="C28" s="2"/>
    </row>
    <row r="29" spans="1:3" ht="15" x14ac:dyDescent="0.3">
      <c r="A29" s="9" t="s">
        <v>116</v>
      </c>
      <c r="B29" s="9" t="s">
        <v>163</v>
      </c>
      <c r="C29" s="9" t="s">
        <v>164</v>
      </c>
    </row>
    <row r="30" spans="1:3" ht="15" x14ac:dyDescent="0.3">
      <c r="A30" s="10" t="s">
        <v>117</v>
      </c>
      <c r="B30" s="11" t="s">
        <v>118</v>
      </c>
      <c r="C30" s="11" t="s">
        <v>119</v>
      </c>
    </row>
    <row r="31" spans="1:3" ht="15" x14ac:dyDescent="0.3">
      <c r="A31" s="10" t="s">
        <v>120</v>
      </c>
      <c r="B31" s="11" t="s">
        <v>121</v>
      </c>
      <c r="C31" s="11" t="s">
        <v>122</v>
      </c>
    </row>
    <row r="32" spans="1:3" ht="15" x14ac:dyDescent="0.3">
      <c r="A32" s="13" t="s">
        <v>123</v>
      </c>
      <c r="B32" s="11" t="s">
        <v>124</v>
      </c>
      <c r="C32" s="12" t="s">
        <v>157</v>
      </c>
    </row>
    <row r="33" spans="1:3" ht="15" x14ac:dyDescent="0.3">
      <c r="A33" s="13" t="s">
        <v>125</v>
      </c>
      <c r="B33" s="11" t="s">
        <v>126</v>
      </c>
      <c r="C33" s="12" t="s">
        <v>162</v>
      </c>
    </row>
    <row r="34" spans="1:3" ht="15" x14ac:dyDescent="0.3">
      <c r="A34" s="13" t="s">
        <v>127</v>
      </c>
      <c r="B34" s="11" t="s">
        <v>128</v>
      </c>
      <c r="C34" s="12" t="s">
        <v>162</v>
      </c>
    </row>
    <row r="35" spans="1:3" ht="15" x14ac:dyDescent="0.3">
      <c r="A35" s="13" t="s">
        <v>129</v>
      </c>
      <c r="B35" s="11" t="s">
        <v>130</v>
      </c>
      <c r="C35" s="12" t="s">
        <v>166</v>
      </c>
    </row>
    <row r="36" spans="1:3" ht="15" x14ac:dyDescent="0.3">
      <c r="A36" s="2"/>
      <c r="B36" s="2"/>
      <c r="C36" s="2"/>
    </row>
    <row r="37" spans="1:3" ht="16.2" x14ac:dyDescent="0.3">
      <c r="A37" s="7" t="s">
        <v>158</v>
      </c>
      <c r="B37" s="2"/>
      <c r="C37" s="2"/>
    </row>
    <row r="38" spans="1:3" ht="15" x14ac:dyDescent="0.3">
      <c r="A38" s="2" t="s">
        <v>159</v>
      </c>
      <c r="B38" s="2"/>
      <c r="C38" s="2"/>
    </row>
    <row r="39" spans="1:3" ht="15" x14ac:dyDescent="0.3">
      <c r="A39" s="2"/>
      <c r="B39" s="2"/>
      <c r="C39" s="2"/>
    </row>
    <row r="40" spans="1:3" ht="15" x14ac:dyDescent="0.3">
      <c r="A40" s="5" t="s">
        <v>131</v>
      </c>
      <c r="B40" s="2" t="s">
        <v>132</v>
      </c>
      <c r="C40" s="2"/>
    </row>
    <row r="41" spans="1:3" ht="15" x14ac:dyDescent="0.3">
      <c r="A41" s="5" t="s">
        <v>133</v>
      </c>
      <c r="B41" s="2" t="s">
        <v>134</v>
      </c>
      <c r="C41" s="2"/>
    </row>
    <row r="42" spans="1:3" ht="15" x14ac:dyDescent="0.3">
      <c r="A42" s="5" t="s">
        <v>135</v>
      </c>
      <c r="B42" s="2" t="s">
        <v>136</v>
      </c>
      <c r="C42" s="2"/>
    </row>
    <row r="43" spans="1:3" ht="15" x14ac:dyDescent="0.3">
      <c r="A43" s="5" t="s">
        <v>137</v>
      </c>
      <c r="B43" s="2" t="s">
        <v>138</v>
      </c>
      <c r="C43" s="2"/>
    </row>
    <row r="44" spans="1:3" ht="15" x14ac:dyDescent="0.3">
      <c r="A44" s="2"/>
      <c r="B44" s="2"/>
      <c r="C44" s="2"/>
    </row>
    <row r="45" spans="1:3" ht="15" x14ac:dyDescent="0.3">
      <c r="A45" s="21" t="s">
        <v>160</v>
      </c>
      <c r="B45" s="2"/>
      <c r="C45" s="2"/>
    </row>
    <row r="46" spans="1:3" ht="15" x14ac:dyDescent="0.3">
      <c r="A46" s="2"/>
      <c r="B46" s="2"/>
      <c r="C46" s="2"/>
    </row>
    <row r="47" spans="1:3" ht="16.2" x14ac:dyDescent="0.3">
      <c r="A47" s="7" t="s">
        <v>139</v>
      </c>
      <c r="B47" s="2"/>
      <c r="C47" s="2"/>
    </row>
    <row r="48" spans="1:3" ht="15" hidden="1" x14ac:dyDescent="0.3">
      <c r="A48" s="2"/>
      <c r="B48" s="2"/>
      <c r="C48" s="2"/>
    </row>
    <row r="49" spans="1:3" ht="15" x14ac:dyDescent="0.3">
      <c r="A49" s="9" t="s">
        <v>140</v>
      </c>
      <c r="B49" s="9" t="s">
        <v>141</v>
      </c>
      <c r="C49" s="9" t="s">
        <v>142</v>
      </c>
    </row>
    <row r="50" spans="1:3" ht="16.2" x14ac:dyDescent="0.3">
      <c r="A50" s="14" t="s">
        <v>143</v>
      </c>
      <c r="B50" s="11" t="s">
        <v>43</v>
      </c>
      <c r="C50" s="11" t="s">
        <v>144</v>
      </c>
    </row>
    <row r="51" spans="1:3" ht="15" x14ac:dyDescent="0.3">
      <c r="A51" s="11" t="s">
        <v>145</v>
      </c>
      <c r="B51" s="11" t="s">
        <v>146</v>
      </c>
      <c r="C51" s="11" t="s">
        <v>147</v>
      </c>
    </row>
    <row r="52" spans="1:3" ht="15" x14ac:dyDescent="0.3">
      <c r="A52" s="11" t="s">
        <v>148</v>
      </c>
      <c r="B52" s="11" t="s">
        <v>149</v>
      </c>
      <c r="C52" s="11" t="s">
        <v>150</v>
      </c>
    </row>
    <row r="53" spans="1:3" ht="15" x14ac:dyDescent="0.3">
      <c r="A53" s="2"/>
      <c r="B53" s="2"/>
      <c r="C53" s="2"/>
    </row>
    <row r="54" spans="1:3" ht="15" x14ac:dyDescent="0.3">
      <c r="A54" s="5" t="s">
        <v>151</v>
      </c>
      <c r="B54" s="2"/>
      <c r="C54" s="2"/>
    </row>
    <row r="55" spans="1:3" ht="15" x14ac:dyDescent="0.3">
      <c r="A55" s="2" t="s">
        <v>105</v>
      </c>
      <c r="B55" s="2" t="s">
        <v>152</v>
      </c>
      <c r="C55" s="2"/>
    </row>
    <row r="56" spans="1:3" ht="15" x14ac:dyDescent="0.3">
      <c r="A56" s="2" t="s">
        <v>107</v>
      </c>
      <c r="B56" s="2" t="s">
        <v>153</v>
      </c>
      <c r="C56" s="2"/>
    </row>
    <row r="57" spans="1:3" ht="15" x14ac:dyDescent="0.3">
      <c r="A57" s="2" t="s">
        <v>109</v>
      </c>
      <c r="B57" s="2" t="s">
        <v>154</v>
      </c>
      <c r="C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WBS入力</vt:lpstr>
      <vt:lpstr>WBSツリー表示</vt:lpstr>
      <vt:lpstr>使い方ガイド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Hiromi Yasuta</cp:lastModifiedBy>
  <dcterms:created xsi:type="dcterms:W3CDTF">2026-04-12T13:39:03Z</dcterms:created>
  <dcterms:modified xsi:type="dcterms:W3CDTF">2026-04-22T01:06:27Z</dcterms:modified>
</cp:coreProperties>
</file>